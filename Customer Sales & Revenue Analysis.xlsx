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https://myaru-my.sharepoint.com/personal/tfa115_student_aru_ac_uk/Documents/"/>
    </mc:Choice>
  </mc:AlternateContent>
  <xr:revisionPtr revIDLastSave="283" documentId="8_{3FC10519-6FED-A649-821E-97BC775D3149}" xr6:coauthVersionLast="47" xr6:coauthVersionMax="47" xr10:uidLastSave="{0DE933CB-67CC-B549-AE16-82130942163B}"/>
  <bookViews>
    <workbookView xWindow="0" yWindow="740" windowWidth="29400" windowHeight="18380" activeTab="3" xr2:uid="{00000000-000D-0000-FFFF-FFFF00000000}"/>
  </bookViews>
  <sheets>
    <sheet name="Revenue by region" sheetId="5" r:id="rId1"/>
    <sheet name="Revenue by Product" sheetId="6" r:id="rId2"/>
    <sheet name="Sales_Data" sheetId="1" r:id="rId3"/>
    <sheet name="Summary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1" l="1"/>
  <c r="K8" i="1"/>
  <c r="K5" i="1"/>
  <c r="K2" i="1"/>
</calcChain>
</file>

<file path=xl/sharedStrings.xml><?xml version="1.0" encoding="utf-8"?>
<sst xmlns="http://schemas.openxmlformats.org/spreadsheetml/2006/main" count="824" uniqueCount="85">
  <si>
    <t>Order_ID</t>
  </si>
  <si>
    <t>Order_Date</t>
  </si>
  <si>
    <t>Customer</t>
  </si>
  <si>
    <t>Region</t>
  </si>
  <si>
    <t>Product</t>
  </si>
  <si>
    <t>Category</t>
  </si>
  <si>
    <t>Quantity</t>
  </si>
  <si>
    <t>Unit_Price</t>
  </si>
  <si>
    <t>Revenue</t>
  </si>
  <si>
    <t>Customer 043</t>
  </si>
  <si>
    <t>Bristol</t>
  </si>
  <si>
    <t>Laptop Stand</t>
  </si>
  <si>
    <t>Accessories</t>
  </si>
  <si>
    <t>Customer 011</t>
  </si>
  <si>
    <t>Bluetooth Speaker</t>
  </si>
  <si>
    <t>Electronics</t>
  </si>
  <si>
    <t>Customer 002</t>
  </si>
  <si>
    <t>Leeds</t>
  </si>
  <si>
    <t>Customer 033</t>
  </si>
  <si>
    <t>USB-C Hub</t>
  </si>
  <si>
    <t>Customer 049</t>
  </si>
  <si>
    <t>Birmingham</t>
  </si>
  <si>
    <t>Phone Case</t>
  </si>
  <si>
    <t>Customer 047</t>
  </si>
  <si>
    <t>Smart Watch</t>
  </si>
  <si>
    <t>Customer 003</t>
  </si>
  <si>
    <t>Customer 039</t>
  </si>
  <si>
    <t>Manchester</t>
  </si>
  <si>
    <t>Customer 014</t>
  </si>
  <si>
    <t>Customer 008</t>
  </si>
  <si>
    <t>Customer 050</t>
  </si>
  <si>
    <t>Customer 029</t>
  </si>
  <si>
    <t>Customer 010</t>
  </si>
  <si>
    <t>Customer 021</t>
  </si>
  <si>
    <t>Customer 026</t>
  </si>
  <si>
    <t>London</t>
  </si>
  <si>
    <t>Customer 045</t>
  </si>
  <si>
    <t>Customer 025</t>
  </si>
  <si>
    <t>Customer 024</t>
  </si>
  <si>
    <t>Wireless Earbuds</t>
  </si>
  <si>
    <t>Customer 035</t>
  </si>
  <si>
    <t>Customer 042</t>
  </si>
  <si>
    <t>Customer 009</t>
  </si>
  <si>
    <t>Customer 023</t>
  </si>
  <si>
    <t>Customer 022</t>
  </si>
  <si>
    <t>Customer 013</t>
  </si>
  <si>
    <t>Customer 004</t>
  </si>
  <si>
    <t>Customer 036</t>
  </si>
  <si>
    <t>Customer 028</t>
  </si>
  <si>
    <t>Customer 006</t>
  </si>
  <si>
    <t>Customer 020</t>
  </si>
  <si>
    <t>Customer 027</t>
  </si>
  <si>
    <t>Customer 019</t>
  </si>
  <si>
    <t>Customer 038</t>
  </si>
  <si>
    <t>Customer 048</t>
  </si>
  <si>
    <t>Customer 016</t>
  </si>
  <si>
    <t>Customer 032</t>
  </si>
  <si>
    <t>Customer 046</t>
  </si>
  <si>
    <t>Customer 034</t>
  </si>
  <si>
    <t>Customer 017</t>
  </si>
  <si>
    <t>Customer 044</t>
  </si>
  <si>
    <t>Customer 040</t>
  </si>
  <si>
    <t>Customer 001</t>
  </si>
  <si>
    <t>Customer 030</t>
  </si>
  <si>
    <t>Customer 041</t>
  </si>
  <si>
    <t>Customer 012</t>
  </si>
  <si>
    <t>Customer 018</t>
  </si>
  <si>
    <t>Customer 037</t>
  </si>
  <si>
    <t>Customer 005</t>
  </si>
  <si>
    <t>Customer 015</t>
  </si>
  <si>
    <t>Metric</t>
  </si>
  <si>
    <t>Value</t>
  </si>
  <si>
    <t>Total Revenue</t>
  </si>
  <si>
    <t>Total Orders</t>
  </si>
  <si>
    <t>Total Units Sold</t>
  </si>
  <si>
    <t>Average Order Value</t>
  </si>
  <si>
    <t xml:space="preserve">Total revenue </t>
  </si>
  <si>
    <t>Total unit sold</t>
  </si>
  <si>
    <t xml:space="preserve">Total orders </t>
  </si>
  <si>
    <t>Average order value</t>
  </si>
  <si>
    <t xml:space="preserve">                Revenue by Region </t>
  </si>
  <si>
    <t>Revenue by product</t>
  </si>
  <si>
    <t>key  insight : smart watch generated the highest product revenue, making it the top performing product.</t>
  </si>
  <si>
    <t>Customer sales &amp; Revenue Dashboard</t>
  </si>
  <si>
    <r>
      <rPr>
        <sz val="12"/>
        <color theme="1"/>
        <rFont val="Calibri (Body)"/>
      </rPr>
      <t>key insight : birmingham generated the highest regional  revenue, contribuitng approximately 23% of total revenue</t>
    </r>
    <r>
      <rPr>
        <sz val="12"/>
        <color theme="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</si>
</sst>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70" formatCode="_-[$£-809]* #,##0.00_-;\-[$£-809]* #,##0.00_-;_-[$£-809]* &quot;-&quot;??_-;_-@_-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5"/>
      <color theme="1"/>
      <name val="Calibri"/>
      <family val="2"/>
      <scheme val="minor"/>
    </font>
    <font>
      <b/>
      <sz val="16"/>
      <color theme="1"/>
      <name val="Calibri (Body)"/>
    </font>
    <font>
      <sz val="12"/>
      <color theme="1"/>
      <name val="Calibri (Body)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top"/>
    </xf>
    <xf numFmtId="165" fontId="0" fillId="0" borderId="0" xfId="0" applyNumberFormat="1"/>
    <xf numFmtId="0" fontId="2" fillId="0" borderId="2" xfId="0" applyFont="1" applyBorder="1" applyAlignment="1">
      <alignment horizontal="center" vertical="top"/>
    </xf>
    <xf numFmtId="0" fontId="4" fillId="0" borderId="0" xfId="0" applyFont="1"/>
    <xf numFmtId="170" fontId="3" fillId="0" borderId="0" xfId="0" applyNumberFormat="1" applyFont="1"/>
    <xf numFmtId="0" fontId="3" fillId="0" borderId="0" xfId="0" applyFont="1"/>
    <xf numFmtId="0" fontId="5" fillId="0" borderId="0" xfId="0" applyFont="1" applyAlignment="1">
      <alignment horizontal="center"/>
    </xf>
    <xf numFmtId="0" fontId="1" fillId="0" borderId="0" xfId="0" applyFont="1"/>
    <xf numFmtId="0" fontId="6" fillId="0" borderId="0" xfId="0" applyFont="1"/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1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REVENUE BY REGION 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Birmingham</c:v>
              </c:pt>
              <c:pt idx="1">
                <c:v>Bristol</c:v>
              </c:pt>
              <c:pt idx="2">
                <c:v>Leeds</c:v>
              </c:pt>
              <c:pt idx="3">
                <c:v>London</c:v>
              </c:pt>
              <c:pt idx="4">
                <c:v>Manchester</c:v>
              </c:pt>
            </c:strLit>
          </c:cat>
          <c:val>
            <c:numLit>
              <c:formatCode>General</c:formatCode>
              <c:ptCount val="5"/>
              <c:pt idx="0">
                <c:v>8883.5299999999934</c:v>
              </c:pt>
              <c:pt idx="1">
                <c:v>8083.7599999999966</c:v>
              </c:pt>
              <c:pt idx="2">
                <c:v>7558.8199999999979</c:v>
              </c:pt>
              <c:pt idx="3">
                <c:v>6608.9299999999967</c:v>
              </c:pt>
              <c:pt idx="4">
                <c:v>7038.9799999999987</c:v>
              </c:pt>
            </c:numLit>
          </c:val>
          <c:extLst>
            <c:ext xmlns:c16="http://schemas.microsoft.com/office/drawing/2014/chart" uri="{C3380CC4-5D6E-409C-BE32-E72D297353CC}">
              <c16:uniqueId val="{00000000-A6B3-A04F-A0D0-9D72C1D60B1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99"/>
        <c:axId val="1614561856"/>
        <c:axId val="1614600976"/>
      </c:barChart>
      <c:catAx>
        <c:axId val="1614561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600976"/>
        <c:crosses val="autoZero"/>
        <c:auto val="1"/>
        <c:lblAlgn val="ctr"/>
        <c:lblOffset val="100"/>
        <c:noMultiLvlLbl val="0"/>
      </c:catAx>
      <c:valAx>
        <c:axId val="161460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561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Revenue by product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Smart Watch</c:v>
              </c:pt>
              <c:pt idx="1">
                <c:v>Bluetooth Speaker</c:v>
              </c:pt>
              <c:pt idx="2">
                <c:v>Wireless Earbuds</c:v>
              </c:pt>
              <c:pt idx="3">
                <c:v>Laptop Stand</c:v>
              </c:pt>
              <c:pt idx="4">
                <c:v>USB-C Hub</c:v>
              </c:pt>
              <c:pt idx="5">
                <c:v>Phone Case</c:v>
              </c:pt>
            </c:strLit>
          </c:cat>
          <c:val>
            <c:numLit>
              <c:formatCode>General</c:formatCode>
              <c:ptCount val="6"/>
              <c:pt idx="0">
                <c:v>14038.919999999998</c:v>
              </c:pt>
              <c:pt idx="1">
                <c:v>8958.8799999999956</c:v>
              </c:pt>
              <c:pt idx="2">
                <c:v>5399.0999999999976</c:v>
              </c:pt>
              <c:pt idx="3">
                <c:v>4993.8899999999958</c:v>
              </c:pt>
              <c:pt idx="4">
                <c:v>2904.1699999999992</c:v>
              </c:pt>
              <c:pt idx="5">
                <c:v>1879.0600000000006</c:v>
              </c:pt>
            </c:numLit>
          </c:val>
          <c:extLst>
            <c:ext xmlns:c16="http://schemas.microsoft.com/office/drawing/2014/chart" uri="{C3380CC4-5D6E-409C-BE32-E72D297353CC}">
              <c16:uniqueId val="{00000000-EB41-F445-8674-9A6B698331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1228031039"/>
        <c:axId val="1228032751"/>
      </c:barChart>
      <c:catAx>
        <c:axId val="1228031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032751"/>
        <c:crosses val="autoZero"/>
        <c:auto val="1"/>
        <c:lblAlgn val="ctr"/>
        <c:lblOffset val="100"/>
        <c:noMultiLvlLbl val="0"/>
      </c:catAx>
      <c:valAx>
        <c:axId val="1228032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031039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numFmt formatCode="[$£-809]#,##0.00;[Red][$£-809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$£-809]#,##0.00;[Red][$£-809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$£-809]#,##0.00;[Red][$£-809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layout>
            <c:manualLayout>
              <c:x val="-3.3538605443658972E-3"/>
              <c:y val="1.5106548603678074E-2"/>
            </c:manualLayout>
          </c:layout>
          <c:numFmt formatCode="[$£-809]#,##0.00;[Red][$£-809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layout>
            <c:manualLayout>
              <c:x val="6.7077210887317327E-3"/>
              <c:y val="6.0200104173224779E-3"/>
            </c:manualLayout>
          </c:layout>
          <c:numFmt formatCode="[$£-809]#,##0.00;[Red][$£-809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layout>
            <c:manualLayout>
              <c:x val="-3.3538605443658972E-3"/>
              <c:y val="6.0200104173224363E-3"/>
            </c:manualLayout>
          </c:layout>
          <c:numFmt formatCode="[$£-809]#,##0.00;[Red][$£-809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layout>
            <c:manualLayout>
              <c:x val="0"/>
              <c:y val="2.4193086790033715E-2"/>
            </c:manualLayout>
          </c:layout>
          <c:numFmt formatCode="[$£-809]#,##0.00;[Red][$£-809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layout>
            <c:manualLayout>
              <c:x val="0"/>
              <c:y val="1.5106548603678115E-2"/>
            </c:manualLayout>
          </c:layout>
          <c:numFmt formatCode="[$£-809]#,##0.00;[Red][$£-809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1.510654860367811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D9E-694F-AB57-5529210C9040}"/>
                </c:ext>
              </c:extLst>
            </c:dLbl>
            <c:dLbl>
              <c:idx val="1"/>
              <c:layout>
                <c:manualLayout>
                  <c:x val="-3.3538605443658972E-3"/>
                  <c:y val="1.510654860367807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D9E-694F-AB57-5529210C9040}"/>
                </c:ext>
              </c:extLst>
            </c:dLbl>
            <c:dLbl>
              <c:idx val="2"/>
              <c:layout>
                <c:manualLayout>
                  <c:x val="6.7077210887317327E-3"/>
                  <c:y val="6.020010417322477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D9E-694F-AB57-5529210C9040}"/>
                </c:ext>
              </c:extLst>
            </c:dLbl>
            <c:dLbl>
              <c:idx val="3"/>
              <c:layout>
                <c:manualLayout>
                  <c:x val="-3.3538605443658972E-3"/>
                  <c:y val="6.020010417322436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D9E-694F-AB57-5529210C9040}"/>
                </c:ext>
              </c:extLst>
            </c:dLbl>
            <c:dLbl>
              <c:idx val="4"/>
              <c:layout>
                <c:manualLayout>
                  <c:x val="0"/>
                  <c:y val="2.419308679003371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D9E-694F-AB57-5529210C9040}"/>
                </c:ext>
              </c:extLst>
            </c:dLbl>
            <c:numFmt formatCode="[$£-809]#,##0.00;[Red][$£-809]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Birmingham</c:v>
              </c:pt>
              <c:pt idx="1">
                <c:v>Bristol</c:v>
              </c:pt>
              <c:pt idx="2">
                <c:v>Leeds</c:v>
              </c:pt>
              <c:pt idx="3">
                <c:v>London</c:v>
              </c:pt>
              <c:pt idx="4">
                <c:v>Manchester</c:v>
              </c:pt>
            </c:strLit>
          </c:cat>
          <c:val>
            <c:numLit>
              <c:formatCode>General</c:formatCode>
              <c:ptCount val="5"/>
              <c:pt idx="0">
                <c:v>8883.5299999999934</c:v>
              </c:pt>
              <c:pt idx="1">
                <c:v>8083.7599999999966</c:v>
              </c:pt>
              <c:pt idx="2">
                <c:v>7558.8199999999979</c:v>
              </c:pt>
              <c:pt idx="3">
                <c:v>6608.9299999999967</c:v>
              </c:pt>
              <c:pt idx="4">
                <c:v>7038.9799999999987</c:v>
              </c:pt>
            </c:numLit>
          </c:val>
          <c:extLst>
            <c:ext xmlns:c16="http://schemas.microsoft.com/office/drawing/2014/chart" uri="{C3380CC4-5D6E-409C-BE32-E72D297353CC}">
              <c16:uniqueId val="{00000000-CD9E-694F-AB57-5529210C904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99"/>
        <c:axId val="1614561856"/>
        <c:axId val="1614600976"/>
      </c:barChart>
      <c:catAx>
        <c:axId val="1614561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600976"/>
        <c:crosses val="autoZero"/>
        <c:auto val="1"/>
        <c:lblAlgn val="ctr"/>
        <c:lblOffset val="100"/>
        <c:noMultiLvlLbl val="0"/>
      </c:catAx>
      <c:valAx>
        <c:axId val="161460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561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Smart Watch</c:v>
              </c:pt>
              <c:pt idx="1">
                <c:v>Bluetooth Speaker</c:v>
              </c:pt>
              <c:pt idx="2">
                <c:v>Wireless Earbuds</c:v>
              </c:pt>
              <c:pt idx="3">
                <c:v>Laptop Stand</c:v>
              </c:pt>
              <c:pt idx="4">
                <c:v>USB-C Hub</c:v>
              </c:pt>
              <c:pt idx="5">
                <c:v>Phone Case</c:v>
              </c:pt>
            </c:strLit>
          </c:cat>
          <c:val>
            <c:numLit>
              <c:formatCode>General</c:formatCode>
              <c:ptCount val="6"/>
              <c:pt idx="0">
                <c:v>14038.919999999998</c:v>
              </c:pt>
              <c:pt idx="1">
                <c:v>8958.8799999999956</c:v>
              </c:pt>
              <c:pt idx="2">
                <c:v>5399.0999999999976</c:v>
              </c:pt>
              <c:pt idx="3">
                <c:v>4993.8899999999958</c:v>
              </c:pt>
              <c:pt idx="4">
                <c:v>2904.1699999999992</c:v>
              </c:pt>
              <c:pt idx="5">
                <c:v>1879.0600000000006</c:v>
              </c:pt>
            </c:numLit>
          </c:val>
          <c:extLst>
            <c:ext xmlns:c16="http://schemas.microsoft.com/office/drawing/2014/chart" uri="{C3380CC4-5D6E-409C-BE32-E72D297353CC}">
              <c16:uniqueId val="{00000000-DAB2-B743-933F-68344E65CE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1228031039"/>
        <c:axId val="1228032751"/>
      </c:barChart>
      <c:catAx>
        <c:axId val="1228031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032751"/>
        <c:crosses val="autoZero"/>
        <c:auto val="1"/>
        <c:lblAlgn val="ctr"/>
        <c:lblOffset val="100"/>
        <c:noMultiLvlLbl val="0"/>
      </c:catAx>
      <c:valAx>
        <c:axId val="1228032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031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838F2E8-0F59-E842-AFB7-B69157236871}">
  <sheetPr/>
  <sheetViews>
    <sheetView zoomScale="135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56D76A4-0BDB-BC4C-84D1-5A66A3043326}">
  <sheetPr/>
  <sheetViews>
    <sheetView zoomScale="115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7413" cy="606580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22E24C-20FD-5A6B-C9C6-2DBE1C0BEAC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7413" cy="606580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740716-541E-42F9-2223-EC6DD4070FD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99689" y="1682737"/>
    <xdr:ext cx="2294936" cy="222417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48DD37-B0FE-B541-9509-DFB18284E62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  <xdr:absoluteAnchor>
    <xdr:pos x="7255021" y="1715605"/>
    <xdr:ext cx="2271348" cy="2214361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994D71-28AE-E74B-AB18-D578E777729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4D1153-5562-EB43-81B4-4B1F99F2CB16}" name="Table1" displayName="Table1" ref="A1:I201" totalsRowShown="0" headerRowDxfId="0" headerRowBorderDxfId="2" tableBorderDxfId="3">
  <autoFilter ref="A1:I201" xr:uid="{5B4D1153-5562-EB43-81B4-4B1F99F2CB16}"/>
  <tableColumns count="9">
    <tableColumn id="1" xr3:uid="{2EE1C82D-0FE4-E14F-BB0E-ED3D5CDC3F90}" name="Order_ID"/>
    <tableColumn id="2" xr3:uid="{10B93646-926B-DE48-A429-BCABDEBC3AFA}" name="Order_Date" dataDxfId="1"/>
    <tableColumn id="3" xr3:uid="{07B86300-8D24-5346-B322-279AF5D38BF2}" name="Customer"/>
    <tableColumn id="4" xr3:uid="{40195C02-2302-9A4D-9467-6A69CC3DEA12}" name="Region"/>
    <tableColumn id="5" xr3:uid="{A97C096F-31CE-B24C-9BF2-20EC2DC921F1}" name="Product"/>
    <tableColumn id="6" xr3:uid="{15716022-2A50-3B45-BE2A-B7A751E3450C}" name="Category"/>
    <tableColumn id="7" xr3:uid="{9848079E-B217-224F-BA89-7EF316D9540A}" name="Quantity"/>
    <tableColumn id="8" xr3:uid="{E2F7DDCE-2EAA-534C-8303-A8D98EA2DEEE}" name="Unit_Price"/>
    <tableColumn id="9" xr3:uid="{56B08CB1-5C8B-FA48-81A4-D8B5DF398806}" name="Reven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1"/>
  <sheetViews>
    <sheetView topLeftCell="A32" workbookViewId="0">
      <selection activeCell="C169" sqref="C169"/>
    </sheetView>
  </sheetViews>
  <sheetFormatPr baseColWidth="10" defaultColWidth="8.83203125" defaultRowHeight="15" x14ac:dyDescent="0.2"/>
  <cols>
    <col min="1" max="1" width="10.5" customWidth="1"/>
    <col min="2" max="2" width="12.5" customWidth="1"/>
    <col min="3" max="3" width="11" customWidth="1"/>
    <col min="5" max="5" width="9.6640625" customWidth="1"/>
    <col min="6" max="7" width="10.33203125" customWidth="1"/>
    <col min="8" max="8" width="11.6640625" customWidth="1"/>
    <col min="9" max="9" width="10.33203125" customWidth="1"/>
  </cols>
  <sheetData>
    <row r="1" spans="1:1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K1" t="s">
        <v>76</v>
      </c>
    </row>
    <row r="2" spans="1:11" x14ac:dyDescent="0.2">
      <c r="A2">
        <v>1</v>
      </c>
      <c r="B2" s="2">
        <v>46037</v>
      </c>
      <c r="C2" t="s">
        <v>9</v>
      </c>
      <c r="D2" t="s">
        <v>10</v>
      </c>
      <c r="E2" t="s">
        <v>11</v>
      </c>
      <c r="F2" t="s">
        <v>12</v>
      </c>
      <c r="G2">
        <v>5</v>
      </c>
      <c r="H2">
        <v>44.99</v>
      </c>
      <c r="I2">
        <v>224.95</v>
      </c>
      <c r="K2">
        <f>SUM(Table1[Revenue])</f>
        <v>38174.020000000011</v>
      </c>
    </row>
    <row r="3" spans="1:11" x14ac:dyDescent="0.2">
      <c r="A3">
        <v>2</v>
      </c>
      <c r="B3" s="2">
        <v>46097</v>
      </c>
      <c r="C3" t="s">
        <v>13</v>
      </c>
      <c r="D3" t="s">
        <v>10</v>
      </c>
      <c r="E3" t="s">
        <v>14</v>
      </c>
      <c r="F3" t="s">
        <v>15</v>
      </c>
      <c r="G3">
        <v>2</v>
      </c>
      <c r="H3">
        <v>79.989999999999995</v>
      </c>
      <c r="I3">
        <v>159.97999999999999</v>
      </c>
    </row>
    <row r="4" spans="1:11" x14ac:dyDescent="0.2">
      <c r="A4">
        <v>3</v>
      </c>
      <c r="B4" s="2">
        <v>46172</v>
      </c>
      <c r="C4" t="s">
        <v>16</v>
      </c>
      <c r="D4" t="s">
        <v>17</v>
      </c>
      <c r="E4" t="s">
        <v>11</v>
      </c>
      <c r="F4" t="s">
        <v>12</v>
      </c>
      <c r="G4">
        <v>3</v>
      </c>
      <c r="H4">
        <v>44.99</v>
      </c>
      <c r="I4">
        <v>134.97</v>
      </c>
      <c r="K4" t="s">
        <v>77</v>
      </c>
    </row>
    <row r="5" spans="1:11" x14ac:dyDescent="0.2">
      <c r="A5">
        <v>4</v>
      </c>
      <c r="B5" s="2">
        <v>46043</v>
      </c>
      <c r="C5" t="s">
        <v>18</v>
      </c>
      <c r="D5" t="s">
        <v>17</v>
      </c>
      <c r="E5" t="s">
        <v>19</v>
      </c>
      <c r="F5" t="s">
        <v>12</v>
      </c>
      <c r="G5">
        <v>2</v>
      </c>
      <c r="H5">
        <v>34.99</v>
      </c>
      <c r="I5">
        <v>69.98</v>
      </c>
      <c r="K5">
        <f>SUM(Table1[Quantity])</f>
        <v>598</v>
      </c>
    </row>
    <row r="6" spans="1:11" x14ac:dyDescent="0.2">
      <c r="A6">
        <v>5</v>
      </c>
      <c r="B6" s="2">
        <v>46111</v>
      </c>
      <c r="C6" t="s">
        <v>20</v>
      </c>
      <c r="D6" t="s">
        <v>21</v>
      </c>
      <c r="E6" t="s">
        <v>22</v>
      </c>
      <c r="F6" t="s">
        <v>12</v>
      </c>
      <c r="G6">
        <v>5</v>
      </c>
      <c r="H6">
        <v>19.989999999999998</v>
      </c>
      <c r="I6">
        <v>99.95</v>
      </c>
    </row>
    <row r="7" spans="1:11" x14ac:dyDescent="0.2">
      <c r="A7">
        <v>6</v>
      </c>
      <c r="B7" s="2">
        <v>46037</v>
      </c>
      <c r="C7" t="s">
        <v>23</v>
      </c>
      <c r="D7" t="s">
        <v>21</v>
      </c>
      <c r="E7" t="s">
        <v>24</v>
      </c>
      <c r="F7" t="s">
        <v>15</v>
      </c>
      <c r="G7">
        <v>2</v>
      </c>
      <c r="H7">
        <v>129.99</v>
      </c>
      <c r="I7">
        <v>259.98</v>
      </c>
      <c r="K7" t="s">
        <v>78</v>
      </c>
    </row>
    <row r="8" spans="1:11" x14ac:dyDescent="0.2">
      <c r="A8">
        <v>7</v>
      </c>
      <c r="B8" s="2">
        <v>46086</v>
      </c>
      <c r="C8" t="s">
        <v>25</v>
      </c>
      <c r="D8" t="s">
        <v>10</v>
      </c>
      <c r="E8" t="s">
        <v>11</v>
      </c>
      <c r="F8" t="s">
        <v>12</v>
      </c>
      <c r="G8">
        <v>4</v>
      </c>
      <c r="H8">
        <v>44.99</v>
      </c>
      <c r="I8">
        <v>179.96</v>
      </c>
      <c r="K8">
        <f>COUNTA(Table1[Order_ID])</f>
        <v>200</v>
      </c>
    </row>
    <row r="9" spans="1:11" x14ac:dyDescent="0.2">
      <c r="A9">
        <v>8</v>
      </c>
      <c r="B9" s="2">
        <v>46095</v>
      </c>
      <c r="C9" t="s">
        <v>26</v>
      </c>
      <c r="D9" t="s">
        <v>27</v>
      </c>
      <c r="E9" t="s">
        <v>24</v>
      </c>
      <c r="F9" t="s">
        <v>15</v>
      </c>
      <c r="G9">
        <v>5</v>
      </c>
      <c r="H9">
        <v>129.99</v>
      </c>
      <c r="I9">
        <v>649.95000000000005</v>
      </c>
    </row>
    <row r="10" spans="1:11" x14ac:dyDescent="0.2">
      <c r="A10">
        <v>9</v>
      </c>
      <c r="B10" s="2">
        <v>46082</v>
      </c>
      <c r="C10" t="s">
        <v>28</v>
      </c>
      <c r="D10" t="s">
        <v>27</v>
      </c>
      <c r="E10" t="s">
        <v>11</v>
      </c>
      <c r="F10" t="s">
        <v>12</v>
      </c>
      <c r="G10">
        <v>1</v>
      </c>
      <c r="H10">
        <v>44.99</v>
      </c>
      <c r="I10">
        <v>44.99</v>
      </c>
      <c r="K10" t="s">
        <v>79</v>
      </c>
    </row>
    <row r="11" spans="1:11" x14ac:dyDescent="0.2">
      <c r="A11">
        <v>10</v>
      </c>
      <c r="B11" s="2">
        <v>46112</v>
      </c>
      <c r="C11" t="s">
        <v>16</v>
      </c>
      <c r="D11" t="s">
        <v>17</v>
      </c>
      <c r="E11" t="s">
        <v>22</v>
      </c>
      <c r="F11" t="s">
        <v>12</v>
      </c>
      <c r="G11">
        <v>1</v>
      </c>
      <c r="H11">
        <v>19.989999999999998</v>
      </c>
      <c r="I11">
        <v>19.989999999999998</v>
      </c>
      <c r="K11">
        <f>K2/K8</f>
        <v>190.87010000000006</v>
      </c>
    </row>
    <row r="12" spans="1:11" x14ac:dyDescent="0.2">
      <c r="A12">
        <v>11</v>
      </c>
      <c r="B12" s="2">
        <v>46194</v>
      </c>
      <c r="C12" t="s">
        <v>29</v>
      </c>
      <c r="D12" t="s">
        <v>21</v>
      </c>
      <c r="E12" t="s">
        <v>11</v>
      </c>
      <c r="F12" t="s">
        <v>12</v>
      </c>
      <c r="G12">
        <v>4</v>
      </c>
      <c r="H12">
        <v>44.99</v>
      </c>
      <c r="I12">
        <v>179.96</v>
      </c>
    </row>
    <row r="13" spans="1:11" x14ac:dyDescent="0.2">
      <c r="A13">
        <v>12</v>
      </c>
      <c r="B13" s="2">
        <v>46186</v>
      </c>
      <c r="C13" t="s">
        <v>30</v>
      </c>
      <c r="D13" t="s">
        <v>17</v>
      </c>
      <c r="E13" t="s">
        <v>19</v>
      </c>
      <c r="F13" t="s">
        <v>12</v>
      </c>
      <c r="G13">
        <v>1</v>
      </c>
      <c r="H13">
        <v>34.99</v>
      </c>
      <c r="I13">
        <v>34.99</v>
      </c>
    </row>
    <row r="14" spans="1:11" x14ac:dyDescent="0.2">
      <c r="A14">
        <v>13</v>
      </c>
      <c r="B14" s="2">
        <v>46026</v>
      </c>
      <c r="C14" t="s">
        <v>31</v>
      </c>
      <c r="D14" t="s">
        <v>27</v>
      </c>
      <c r="E14" t="s">
        <v>22</v>
      </c>
      <c r="F14" t="s">
        <v>12</v>
      </c>
      <c r="G14">
        <v>2</v>
      </c>
      <c r="H14">
        <v>19.989999999999998</v>
      </c>
      <c r="I14">
        <v>39.979999999999997</v>
      </c>
    </row>
    <row r="15" spans="1:11" x14ac:dyDescent="0.2">
      <c r="A15">
        <v>14</v>
      </c>
      <c r="B15" s="2">
        <v>46184</v>
      </c>
      <c r="C15" t="s">
        <v>32</v>
      </c>
      <c r="D15" t="s">
        <v>17</v>
      </c>
      <c r="E15" t="s">
        <v>22</v>
      </c>
      <c r="F15" t="s">
        <v>12</v>
      </c>
      <c r="G15">
        <v>4</v>
      </c>
      <c r="H15">
        <v>19.989999999999998</v>
      </c>
      <c r="I15">
        <v>79.959999999999994</v>
      </c>
    </row>
    <row r="16" spans="1:11" x14ac:dyDescent="0.2">
      <c r="A16">
        <v>15</v>
      </c>
      <c r="B16" s="2">
        <v>46062</v>
      </c>
      <c r="C16" t="s">
        <v>33</v>
      </c>
      <c r="D16" t="s">
        <v>10</v>
      </c>
      <c r="E16" t="s">
        <v>19</v>
      </c>
      <c r="F16" t="s">
        <v>12</v>
      </c>
      <c r="G16">
        <v>4</v>
      </c>
      <c r="H16">
        <v>34.99</v>
      </c>
      <c r="I16">
        <v>139.96</v>
      </c>
    </row>
    <row r="17" spans="1:9" x14ac:dyDescent="0.2">
      <c r="A17">
        <v>16</v>
      </c>
      <c r="B17" s="2">
        <v>46046</v>
      </c>
      <c r="C17" t="s">
        <v>34</v>
      </c>
      <c r="D17" t="s">
        <v>35</v>
      </c>
      <c r="E17" t="s">
        <v>22</v>
      </c>
      <c r="F17" t="s">
        <v>12</v>
      </c>
      <c r="G17">
        <v>5</v>
      </c>
      <c r="H17">
        <v>19.989999999999998</v>
      </c>
      <c r="I17">
        <v>99.95</v>
      </c>
    </row>
    <row r="18" spans="1:9" x14ac:dyDescent="0.2">
      <c r="A18">
        <v>17</v>
      </c>
      <c r="B18" s="2">
        <v>46146</v>
      </c>
      <c r="C18" t="s">
        <v>36</v>
      </c>
      <c r="D18" t="s">
        <v>35</v>
      </c>
      <c r="E18" t="s">
        <v>11</v>
      </c>
      <c r="F18" t="s">
        <v>12</v>
      </c>
      <c r="G18">
        <v>4</v>
      </c>
      <c r="H18">
        <v>44.99</v>
      </c>
      <c r="I18">
        <v>179.96</v>
      </c>
    </row>
    <row r="19" spans="1:9" x14ac:dyDescent="0.2">
      <c r="A19">
        <v>18</v>
      </c>
      <c r="B19" s="2">
        <v>46087</v>
      </c>
      <c r="C19" t="s">
        <v>37</v>
      </c>
      <c r="D19" t="s">
        <v>35</v>
      </c>
      <c r="E19" t="s">
        <v>14</v>
      </c>
      <c r="F19" t="s">
        <v>15</v>
      </c>
      <c r="G19">
        <v>5</v>
      </c>
      <c r="H19">
        <v>79.989999999999995</v>
      </c>
      <c r="I19">
        <v>399.95</v>
      </c>
    </row>
    <row r="20" spans="1:9" x14ac:dyDescent="0.2">
      <c r="A20">
        <v>19</v>
      </c>
      <c r="B20" s="2">
        <v>46158</v>
      </c>
      <c r="C20" t="s">
        <v>38</v>
      </c>
      <c r="D20" t="s">
        <v>21</v>
      </c>
      <c r="E20" t="s">
        <v>39</v>
      </c>
      <c r="F20" t="s">
        <v>15</v>
      </c>
      <c r="G20">
        <v>4</v>
      </c>
      <c r="H20">
        <v>59.99</v>
      </c>
      <c r="I20">
        <v>239.96</v>
      </c>
    </row>
    <row r="21" spans="1:9" x14ac:dyDescent="0.2">
      <c r="A21">
        <v>20</v>
      </c>
      <c r="B21" s="2">
        <v>46158</v>
      </c>
      <c r="C21" t="s">
        <v>40</v>
      </c>
      <c r="D21" t="s">
        <v>21</v>
      </c>
      <c r="E21" t="s">
        <v>24</v>
      </c>
      <c r="F21" t="s">
        <v>15</v>
      </c>
      <c r="G21">
        <v>1</v>
      </c>
      <c r="H21">
        <v>129.99</v>
      </c>
      <c r="I21">
        <v>129.99</v>
      </c>
    </row>
    <row r="22" spans="1:9" x14ac:dyDescent="0.2">
      <c r="A22">
        <v>21</v>
      </c>
      <c r="B22" s="2">
        <v>46027</v>
      </c>
      <c r="C22" t="s">
        <v>41</v>
      </c>
      <c r="D22" t="s">
        <v>27</v>
      </c>
      <c r="E22" t="s">
        <v>39</v>
      </c>
      <c r="F22" t="s">
        <v>15</v>
      </c>
      <c r="G22">
        <v>3</v>
      </c>
      <c r="H22">
        <v>59.99</v>
      </c>
      <c r="I22">
        <v>179.97</v>
      </c>
    </row>
    <row r="23" spans="1:9" x14ac:dyDescent="0.2">
      <c r="A23">
        <v>22</v>
      </c>
      <c r="B23" s="2">
        <v>46157</v>
      </c>
      <c r="C23" t="s">
        <v>42</v>
      </c>
      <c r="D23" t="s">
        <v>17</v>
      </c>
      <c r="E23" t="s">
        <v>39</v>
      </c>
      <c r="F23" t="s">
        <v>15</v>
      </c>
      <c r="G23">
        <v>4</v>
      </c>
      <c r="H23">
        <v>59.99</v>
      </c>
      <c r="I23">
        <v>239.96</v>
      </c>
    </row>
    <row r="24" spans="1:9" x14ac:dyDescent="0.2">
      <c r="A24">
        <v>23</v>
      </c>
      <c r="B24" s="2">
        <v>46070</v>
      </c>
      <c r="C24" t="s">
        <v>43</v>
      </c>
      <c r="D24" t="s">
        <v>10</v>
      </c>
      <c r="E24" t="s">
        <v>22</v>
      </c>
      <c r="F24" t="s">
        <v>12</v>
      </c>
      <c r="G24">
        <v>1</v>
      </c>
      <c r="H24">
        <v>19.989999999999998</v>
      </c>
      <c r="I24">
        <v>19.989999999999998</v>
      </c>
    </row>
    <row r="25" spans="1:9" x14ac:dyDescent="0.2">
      <c r="A25">
        <v>24</v>
      </c>
      <c r="B25" s="2">
        <v>46126</v>
      </c>
      <c r="C25" t="s">
        <v>44</v>
      </c>
      <c r="D25" t="s">
        <v>21</v>
      </c>
      <c r="E25" t="s">
        <v>24</v>
      </c>
      <c r="F25" t="s">
        <v>15</v>
      </c>
      <c r="G25">
        <v>4</v>
      </c>
      <c r="H25">
        <v>129.99</v>
      </c>
      <c r="I25">
        <v>519.96</v>
      </c>
    </row>
    <row r="26" spans="1:9" x14ac:dyDescent="0.2">
      <c r="A26">
        <v>25</v>
      </c>
      <c r="B26" s="2">
        <v>46123</v>
      </c>
      <c r="C26" t="s">
        <v>23</v>
      </c>
      <c r="D26" t="s">
        <v>21</v>
      </c>
      <c r="E26" t="s">
        <v>24</v>
      </c>
      <c r="F26" t="s">
        <v>15</v>
      </c>
      <c r="G26">
        <v>1</v>
      </c>
      <c r="H26">
        <v>129.99</v>
      </c>
      <c r="I26">
        <v>129.99</v>
      </c>
    </row>
    <row r="27" spans="1:9" x14ac:dyDescent="0.2">
      <c r="A27">
        <v>26</v>
      </c>
      <c r="B27" s="2">
        <v>46164</v>
      </c>
      <c r="C27" t="s">
        <v>26</v>
      </c>
      <c r="D27" t="s">
        <v>21</v>
      </c>
      <c r="E27" t="s">
        <v>39</v>
      </c>
      <c r="F27" t="s">
        <v>15</v>
      </c>
      <c r="G27">
        <v>5</v>
      </c>
      <c r="H27">
        <v>59.99</v>
      </c>
      <c r="I27">
        <v>299.95</v>
      </c>
    </row>
    <row r="28" spans="1:9" x14ac:dyDescent="0.2">
      <c r="A28">
        <v>27</v>
      </c>
      <c r="B28" s="2">
        <v>46064</v>
      </c>
      <c r="C28" t="s">
        <v>45</v>
      </c>
      <c r="D28" t="s">
        <v>21</v>
      </c>
      <c r="E28" t="s">
        <v>39</v>
      </c>
      <c r="F28" t="s">
        <v>15</v>
      </c>
      <c r="G28">
        <v>2</v>
      </c>
      <c r="H28">
        <v>59.99</v>
      </c>
      <c r="I28">
        <v>119.98</v>
      </c>
    </row>
    <row r="29" spans="1:9" x14ac:dyDescent="0.2">
      <c r="A29">
        <v>28</v>
      </c>
      <c r="B29" s="2">
        <v>46118</v>
      </c>
      <c r="C29" t="s">
        <v>46</v>
      </c>
      <c r="D29" t="s">
        <v>10</v>
      </c>
      <c r="E29" t="s">
        <v>39</v>
      </c>
      <c r="F29" t="s">
        <v>15</v>
      </c>
      <c r="G29">
        <v>4</v>
      </c>
      <c r="H29">
        <v>59.99</v>
      </c>
      <c r="I29">
        <v>239.96</v>
      </c>
    </row>
    <row r="30" spans="1:9" x14ac:dyDescent="0.2">
      <c r="A30">
        <v>29</v>
      </c>
      <c r="B30" s="2">
        <v>46051</v>
      </c>
      <c r="C30" t="s">
        <v>47</v>
      </c>
      <c r="D30" t="s">
        <v>10</v>
      </c>
      <c r="E30" t="s">
        <v>14</v>
      </c>
      <c r="F30" t="s">
        <v>15</v>
      </c>
      <c r="G30">
        <v>3</v>
      </c>
      <c r="H30">
        <v>79.989999999999995</v>
      </c>
      <c r="I30">
        <v>239.97</v>
      </c>
    </row>
    <row r="31" spans="1:9" x14ac:dyDescent="0.2">
      <c r="A31">
        <v>30</v>
      </c>
      <c r="B31" s="2">
        <v>46108</v>
      </c>
      <c r="C31" t="s">
        <v>48</v>
      </c>
      <c r="D31" t="s">
        <v>27</v>
      </c>
      <c r="E31" t="s">
        <v>24</v>
      </c>
      <c r="F31" t="s">
        <v>15</v>
      </c>
      <c r="G31">
        <v>3</v>
      </c>
      <c r="H31">
        <v>129.99</v>
      </c>
      <c r="I31">
        <v>389.97</v>
      </c>
    </row>
    <row r="32" spans="1:9" x14ac:dyDescent="0.2">
      <c r="A32">
        <v>31</v>
      </c>
      <c r="B32" s="2">
        <v>46084</v>
      </c>
      <c r="C32" t="s">
        <v>49</v>
      </c>
      <c r="D32" t="s">
        <v>17</v>
      </c>
      <c r="E32" t="s">
        <v>22</v>
      </c>
      <c r="F32" t="s">
        <v>12</v>
      </c>
      <c r="G32">
        <v>5</v>
      </c>
      <c r="H32">
        <v>19.989999999999998</v>
      </c>
      <c r="I32">
        <v>99.95</v>
      </c>
    </row>
    <row r="33" spans="1:9" x14ac:dyDescent="0.2">
      <c r="A33">
        <v>32</v>
      </c>
      <c r="B33" s="2">
        <v>46066</v>
      </c>
      <c r="C33" t="s">
        <v>50</v>
      </c>
      <c r="D33" t="s">
        <v>21</v>
      </c>
      <c r="E33" t="s">
        <v>11</v>
      </c>
      <c r="F33" t="s">
        <v>12</v>
      </c>
      <c r="G33">
        <v>4</v>
      </c>
      <c r="H33">
        <v>44.99</v>
      </c>
      <c r="I33">
        <v>179.96</v>
      </c>
    </row>
    <row r="34" spans="1:9" x14ac:dyDescent="0.2">
      <c r="A34">
        <v>33</v>
      </c>
      <c r="B34" s="2">
        <v>46151</v>
      </c>
      <c r="C34" t="s">
        <v>51</v>
      </c>
      <c r="D34" t="s">
        <v>35</v>
      </c>
      <c r="E34" t="s">
        <v>22</v>
      </c>
      <c r="F34" t="s">
        <v>12</v>
      </c>
      <c r="G34">
        <v>4</v>
      </c>
      <c r="H34">
        <v>19.989999999999998</v>
      </c>
      <c r="I34">
        <v>79.959999999999994</v>
      </c>
    </row>
    <row r="35" spans="1:9" x14ac:dyDescent="0.2">
      <c r="A35">
        <v>34</v>
      </c>
      <c r="B35" s="2">
        <v>46025</v>
      </c>
      <c r="C35" t="s">
        <v>26</v>
      </c>
      <c r="D35" t="s">
        <v>21</v>
      </c>
      <c r="E35" t="s">
        <v>11</v>
      </c>
      <c r="F35" t="s">
        <v>12</v>
      </c>
      <c r="G35">
        <v>5</v>
      </c>
      <c r="H35">
        <v>44.99</v>
      </c>
      <c r="I35">
        <v>224.95</v>
      </c>
    </row>
    <row r="36" spans="1:9" x14ac:dyDescent="0.2">
      <c r="A36">
        <v>35</v>
      </c>
      <c r="B36" s="2">
        <v>46073</v>
      </c>
      <c r="C36" t="s">
        <v>41</v>
      </c>
      <c r="D36" t="s">
        <v>17</v>
      </c>
      <c r="E36" t="s">
        <v>39</v>
      </c>
      <c r="F36" t="s">
        <v>15</v>
      </c>
      <c r="G36">
        <v>5</v>
      </c>
      <c r="H36">
        <v>59.99</v>
      </c>
      <c r="I36">
        <v>299.95</v>
      </c>
    </row>
    <row r="37" spans="1:9" x14ac:dyDescent="0.2">
      <c r="A37">
        <v>36</v>
      </c>
      <c r="B37" s="2">
        <v>46202</v>
      </c>
      <c r="C37" t="s">
        <v>20</v>
      </c>
      <c r="D37" t="s">
        <v>35</v>
      </c>
      <c r="E37" t="s">
        <v>24</v>
      </c>
      <c r="F37" t="s">
        <v>15</v>
      </c>
      <c r="G37">
        <v>1</v>
      </c>
      <c r="H37">
        <v>129.99</v>
      </c>
      <c r="I37">
        <v>129.99</v>
      </c>
    </row>
    <row r="38" spans="1:9" x14ac:dyDescent="0.2">
      <c r="A38">
        <v>37</v>
      </c>
      <c r="B38" s="2">
        <v>46034</v>
      </c>
      <c r="C38" t="s">
        <v>26</v>
      </c>
      <c r="D38" t="s">
        <v>27</v>
      </c>
      <c r="E38" t="s">
        <v>22</v>
      </c>
      <c r="F38" t="s">
        <v>12</v>
      </c>
      <c r="G38">
        <v>4</v>
      </c>
      <c r="H38">
        <v>19.989999999999998</v>
      </c>
      <c r="I38">
        <v>79.959999999999994</v>
      </c>
    </row>
    <row r="39" spans="1:9" x14ac:dyDescent="0.2">
      <c r="A39">
        <v>38</v>
      </c>
      <c r="B39" s="2">
        <v>46123</v>
      </c>
      <c r="C39" t="s">
        <v>20</v>
      </c>
      <c r="D39" t="s">
        <v>35</v>
      </c>
      <c r="E39" t="s">
        <v>24</v>
      </c>
      <c r="F39" t="s">
        <v>15</v>
      </c>
      <c r="G39">
        <v>1</v>
      </c>
      <c r="H39">
        <v>129.99</v>
      </c>
      <c r="I39">
        <v>129.99</v>
      </c>
    </row>
    <row r="40" spans="1:9" x14ac:dyDescent="0.2">
      <c r="A40">
        <v>39</v>
      </c>
      <c r="B40" s="2">
        <v>46024</v>
      </c>
      <c r="C40" t="s">
        <v>16</v>
      </c>
      <c r="D40" t="s">
        <v>17</v>
      </c>
      <c r="E40" t="s">
        <v>24</v>
      </c>
      <c r="F40" t="s">
        <v>15</v>
      </c>
      <c r="G40">
        <v>1</v>
      </c>
      <c r="H40">
        <v>129.99</v>
      </c>
      <c r="I40">
        <v>129.99</v>
      </c>
    </row>
    <row r="41" spans="1:9" x14ac:dyDescent="0.2">
      <c r="A41">
        <v>40</v>
      </c>
      <c r="B41" s="2">
        <v>46151</v>
      </c>
      <c r="C41" t="s">
        <v>52</v>
      </c>
      <c r="D41" t="s">
        <v>27</v>
      </c>
      <c r="E41" t="s">
        <v>19</v>
      </c>
      <c r="F41" t="s">
        <v>12</v>
      </c>
      <c r="G41">
        <v>5</v>
      </c>
      <c r="H41">
        <v>34.99</v>
      </c>
      <c r="I41">
        <v>174.95</v>
      </c>
    </row>
    <row r="42" spans="1:9" x14ac:dyDescent="0.2">
      <c r="A42">
        <v>41</v>
      </c>
      <c r="B42" s="2">
        <v>46182</v>
      </c>
      <c r="C42" t="s">
        <v>49</v>
      </c>
      <c r="D42" t="s">
        <v>17</v>
      </c>
      <c r="E42" t="s">
        <v>14</v>
      </c>
      <c r="F42" t="s">
        <v>15</v>
      </c>
      <c r="G42">
        <v>4</v>
      </c>
      <c r="H42">
        <v>79.989999999999995</v>
      </c>
      <c r="I42">
        <v>319.95999999999998</v>
      </c>
    </row>
    <row r="43" spans="1:9" x14ac:dyDescent="0.2">
      <c r="A43">
        <v>42</v>
      </c>
      <c r="B43" s="2">
        <v>46167</v>
      </c>
      <c r="C43" t="s">
        <v>53</v>
      </c>
      <c r="D43" t="s">
        <v>10</v>
      </c>
      <c r="E43" t="s">
        <v>24</v>
      </c>
      <c r="F43" t="s">
        <v>15</v>
      </c>
      <c r="G43">
        <v>3</v>
      </c>
      <c r="H43">
        <v>129.99</v>
      </c>
      <c r="I43">
        <v>389.97</v>
      </c>
    </row>
    <row r="44" spans="1:9" x14ac:dyDescent="0.2">
      <c r="A44">
        <v>43</v>
      </c>
      <c r="B44" s="2">
        <v>46161</v>
      </c>
      <c r="C44" t="s">
        <v>54</v>
      </c>
      <c r="D44" t="s">
        <v>35</v>
      </c>
      <c r="E44" t="s">
        <v>11</v>
      </c>
      <c r="F44" t="s">
        <v>12</v>
      </c>
      <c r="G44">
        <v>2</v>
      </c>
      <c r="H44">
        <v>44.99</v>
      </c>
      <c r="I44">
        <v>89.98</v>
      </c>
    </row>
    <row r="45" spans="1:9" x14ac:dyDescent="0.2">
      <c r="A45">
        <v>44</v>
      </c>
      <c r="B45" s="2">
        <v>46092</v>
      </c>
      <c r="C45" t="s">
        <v>55</v>
      </c>
      <c r="D45" t="s">
        <v>10</v>
      </c>
      <c r="E45" t="s">
        <v>39</v>
      </c>
      <c r="F45" t="s">
        <v>15</v>
      </c>
      <c r="G45">
        <v>4</v>
      </c>
      <c r="H45">
        <v>59.99</v>
      </c>
      <c r="I45">
        <v>239.96</v>
      </c>
    </row>
    <row r="46" spans="1:9" x14ac:dyDescent="0.2">
      <c r="A46">
        <v>45</v>
      </c>
      <c r="B46" s="2">
        <v>46186</v>
      </c>
      <c r="C46" t="s">
        <v>52</v>
      </c>
      <c r="D46" t="s">
        <v>27</v>
      </c>
      <c r="E46" t="s">
        <v>24</v>
      </c>
      <c r="F46" t="s">
        <v>15</v>
      </c>
      <c r="G46">
        <v>4</v>
      </c>
      <c r="H46">
        <v>129.99</v>
      </c>
      <c r="I46">
        <v>519.96</v>
      </c>
    </row>
    <row r="47" spans="1:9" x14ac:dyDescent="0.2">
      <c r="A47">
        <v>46</v>
      </c>
      <c r="B47" s="2">
        <v>46170</v>
      </c>
      <c r="C47" t="s">
        <v>56</v>
      </c>
      <c r="D47" t="s">
        <v>17</v>
      </c>
      <c r="E47" t="s">
        <v>24</v>
      </c>
      <c r="F47" t="s">
        <v>15</v>
      </c>
      <c r="G47">
        <v>3</v>
      </c>
      <c r="H47">
        <v>129.99</v>
      </c>
      <c r="I47">
        <v>389.97</v>
      </c>
    </row>
    <row r="48" spans="1:9" x14ac:dyDescent="0.2">
      <c r="A48">
        <v>47</v>
      </c>
      <c r="B48" s="2">
        <v>46190</v>
      </c>
      <c r="C48" t="s">
        <v>26</v>
      </c>
      <c r="D48" t="s">
        <v>27</v>
      </c>
      <c r="E48" t="s">
        <v>39</v>
      </c>
      <c r="F48" t="s">
        <v>15</v>
      </c>
      <c r="G48">
        <v>1</v>
      </c>
      <c r="H48">
        <v>59.99</v>
      </c>
      <c r="I48">
        <v>59.99</v>
      </c>
    </row>
    <row r="49" spans="1:9" x14ac:dyDescent="0.2">
      <c r="A49">
        <v>48</v>
      </c>
      <c r="B49" s="2">
        <v>46200</v>
      </c>
      <c r="C49" t="s">
        <v>43</v>
      </c>
      <c r="D49" t="s">
        <v>27</v>
      </c>
      <c r="E49" t="s">
        <v>39</v>
      </c>
      <c r="F49" t="s">
        <v>15</v>
      </c>
      <c r="G49">
        <v>3</v>
      </c>
      <c r="H49">
        <v>59.99</v>
      </c>
      <c r="I49">
        <v>179.97</v>
      </c>
    </row>
    <row r="50" spans="1:9" x14ac:dyDescent="0.2">
      <c r="A50">
        <v>49</v>
      </c>
      <c r="B50" s="2">
        <v>46166</v>
      </c>
      <c r="C50" t="s">
        <v>34</v>
      </c>
      <c r="D50" t="s">
        <v>35</v>
      </c>
      <c r="E50" t="s">
        <v>24</v>
      </c>
      <c r="F50" t="s">
        <v>15</v>
      </c>
      <c r="G50">
        <v>4</v>
      </c>
      <c r="H50">
        <v>129.99</v>
      </c>
      <c r="I50">
        <v>519.96</v>
      </c>
    </row>
    <row r="51" spans="1:9" x14ac:dyDescent="0.2">
      <c r="A51">
        <v>50</v>
      </c>
      <c r="B51" s="2">
        <v>46135</v>
      </c>
      <c r="C51" t="s">
        <v>16</v>
      </c>
      <c r="D51" t="s">
        <v>35</v>
      </c>
      <c r="E51" t="s">
        <v>11</v>
      </c>
      <c r="F51" t="s">
        <v>12</v>
      </c>
      <c r="G51">
        <v>4</v>
      </c>
      <c r="H51">
        <v>44.99</v>
      </c>
      <c r="I51">
        <v>179.96</v>
      </c>
    </row>
    <row r="52" spans="1:9" x14ac:dyDescent="0.2">
      <c r="A52">
        <v>51</v>
      </c>
      <c r="B52" s="2">
        <v>46059</v>
      </c>
      <c r="C52" t="s">
        <v>56</v>
      </c>
      <c r="D52" t="s">
        <v>21</v>
      </c>
      <c r="E52" t="s">
        <v>19</v>
      </c>
      <c r="F52" t="s">
        <v>12</v>
      </c>
      <c r="G52">
        <v>4</v>
      </c>
      <c r="H52">
        <v>34.99</v>
      </c>
      <c r="I52">
        <v>139.96</v>
      </c>
    </row>
    <row r="53" spans="1:9" x14ac:dyDescent="0.2">
      <c r="A53">
        <v>52</v>
      </c>
      <c r="B53" s="2">
        <v>46121</v>
      </c>
      <c r="C53" t="s">
        <v>52</v>
      </c>
      <c r="D53" t="s">
        <v>21</v>
      </c>
      <c r="E53" t="s">
        <v>39</v>
      </c>
      <c r="F53" t="s">
        <v>15</v>
      </c>
      <c r="G53">
        <v>1</v>
      </c>
      <c r="H53">
        <v>59.99</v>
      </c>
      <c r="I53">
        <v>59.99</v>
      </c>
    </row>
    <row r="54" spans="1:9" x14ac:dyDescent="0.2">
      <c r="A54">
        <v>53</v>
      </c>
      <c r="B54" s="2">
        <v>46174</v>
      </c>
      <c r="C54" t="s">
        <v>13</v>
      </c>
      <c r="D54" t="s">
        <v>35</v>
      </c>
      <c r="E54" t="s">
        <v>11</v>
      </c>
      <c r="F54" t="s">
        <v>12</v>
      </c>
      <c r="G54">
        <v>1</v>
      </c>
      <c r="H54">
        <v>44.99</v>
      </c>
      <c r="I54">
        <v>44.99</v>
      </c>
    </row>
    <row r="55" spans="1:9" x14ac:dyDescent="0.2">
      <c r="A55">
        <v>54</v>
      </c>
      <c r="B55" s="2">
        <v>46134</v>
      </c>
      <c r="C55" t="s">
        <v>37</v>
      </c>
      <c r="D55" t="s">
        <v>21</v>
      </c>
      <c r="E55" t="s">
        <v>11</v>
      </c>
      <c r="F55" t="s">
        <v>12</v>
      </c>
      <c r="G55">
        <v>4</v>
      </c>
      <c r="H55">
        <v>44.99</v>
      </c>
      <c r="I55">
        <v>179.96</v>
      </c>
    </row>
    <row r="56" spans="1:9" x14ac:dyDescent="0.2">
      <c r="A56">
        <v>55</v>
      </c>
      <c r="B56" s="2">
        <v>46168</v>
      </c>
      <c r="C56" t="s">
        <v>57</v>
      </c>
      <c r="D56" t="s">
        <v>27</v>
      </c>
      <c r="E56" t="s">
        <v>39</v>
      </c>
      <c r="F56" t="s">
        <v>15</v>
      </c>
      <c r="G56">
        <v>5</v>
      </c>
      <c r="H56">
        <v>59.99</v>
      </c>
      <c r="I56">
        <v>299.95</v>
      </c>
    </row>
    <row r="57" spans="1:9" x14ac:dyDescent="0.2">
      <c r="A57">
        <v>56</v>
      </c>
      <c r="B57" s="2">
        <v>46191</v>
      </c>
      <c r="C57" t="s">
        <v>47</v>
      </c>
      <c r="D57" t="s">
        <v>35</v>
      </c>
      <c r="E57" t="s">
        <v>22</v>
      </c>
      <c r="F57" t="s">
        <v>12</v>
      </c>
      <c r="G57">
        <v>3</v>
      </c>
      <c r="H57">
        <v>19.989999999999998</v>
      </c>
      <c r="I57">
        <v>59.97</v>
      </c>
    </row>
    <row r="58" spans="1:9" x14ac:dyDescent="0.2">
      <c r="A58">
        <v>57</v>
      </c>
      <c r="B58" s="2">
        <v>46164</v>
      </c>
      <c r="C58" t="s">
        <v>33</v>
      </c>
      <c r="D58" t="s">
        <v>17</v>
      </c>
      <c r="E58" t="s">
        <v>11</v>
      </c>
      <c r="F58" t="s">
        <v>12</v>
      </c>
      <c r="G58">
        <v>1</v>
      </c>
      <c r="H58">
        <v>44.99</v>
      </c>
      <c r="I58">
        <v>44.99</v>
      </c>
    </row>
    <row r="59" spans="1:9" x14ac:dyDescent="0.2">
      <c r="A59">
        <v>58</v>
      </c>
      <c r="B59" s="2">
        <v>46150</v>
      </c>
      <c r="C59" t="s">
        <v>18</v>
      </c>
      <c r="D59" t="s">
        <v>17</v>
      </c>
      <c r="E59" t="s">
        <v>24</v>
      </c>
      <c r="F59" t="s">
        <v>15</v>
      </c>
      <c r="G59">
        <v>1</v>
      </c>
      <c r="H59">
        <v>129.99</v>
      </c>
      <c r="I59">
        <v>129.99</v>
      </c>
    </row>
    <row r="60" spans="1:9" x14ac:dyDescent="0.2">
      <c r="A60">
        <v>59</v>
      </c>
      <c r="B60" s="2">
        <v>46141</v>
      </c>
      <c r="C60" t="s">
        <v>44</v>
      </c>
      <c r="D60" t="s">
        <v>10</v>
      </c>
      <c r="E60" t="s">
        <v>24</v>
      </c>
      <c r="F60" t="s">
        <v>15</v>
      </c>
      <c r="G60">
        <v>3</v>
      </c>
      <c r="H60">
        <v>129.99</v>
      </c>
      <c r="I60">
        <v>389.97</v>
      </c>
    </row>
    <row r="61" spans="1:9" x14ac:dyDescent="0.2">
      <c r="A61">
        <v>60</v>
      </c>
      <c r="B61" s="2">
        <v>46049</v>
      </c>
      <c r="C61" t="s">
        <v>58</v>
      </c>
      <c r="D61" t="s">
        <v>10</v>
      </c>
      <c r="E61" t="s">
        <v>24</v>
      </c>
      <c r="F61" t="s">
        <v>15</v>
      </c>
      <c r="G61">
        <v>3</v>
      </c>
      <c r="H61">
        <v>129.99</v>
      </c>
      <c r="I61">
        <v>389.97</v>
      </c>
    </row>
    <row r="62" spans="1:9" x14ac:dyDescent="0.2">
      <c r="A62">
        <v>61</v>
      </c>
      <c r="B62" s="2">
        <v>46050</v>
      </c>
      <c r="C62" t="s">
        <v>23</v>
      </c>
      <c r="D62" t="s">
        <v>35</v>
      </c>
      <c r="E62" t="s">
        <v>19</v>
      </c>
      <c r="F62" t="s">
        <v>12</v>
      </c>
      <c r="G62">
        <v>1</v>
      </c>
      <c r="H62">
        <v>34.99</v>
      </c>
      <c r="I62">
        <v>34.99</v>
      </c>
    </row>
    <row r="63" spans="1:9" x14ac:dyDescent="0.2">
      <c r="A63">
        <v>62</v>
      </c>
      <c r="B63" s="2">
        <v>46083</v>
      </c>
      <c r="C63" t="s">
        <v>54</v>
      </c>
      <c r="D63" t="s">
        <v>21</v>
      </c>
      <c r="E63" t="s">
        <v>14</v>
      </c>
      <c r="F63" t="s">
        <v>15</v>
      </c>
      <c r="G63">
        <v>4</v>
      </c>
      <c r="H63">
        <v>79.989999999999995</v>
      </c>
      <c r="I63">
        <v>319.95999999999998</v>
      </c>
    </row>
    <row r="64" spans="1:9" x14ac:dyDescent="0.2">
      <c r="A64">
        <v>63</v>
      </c>
      <c r="B64" s="2">
        <v>46071</v>
      </c>
      <c r="C64" t="s">
        <v>59</v>
      </c>
      <c r="D64" t="s">
        <v>17</v>
      </c>
      <c r="E64" t="s">
        <v>11</v>
      </c>
      <c r="F64" t="s">
        <v>12</v>
      </c>
      <c r="G64">
        <v>3</v>
      </c>
      <c r="H64">
        <v>44.99</v>
      </c>
      <c r="I64">
        <v>134.97</v>
      </c>
    </row>
    <row r="65" spans="1:9" x14ac:dyDescent="0.2">
      <c r="A65">
        <v>64</v>
      </c>
      <c r="B65" s="2">
        <v>46068</v>
      </c>
      <c r="C65" t="s">
        <v>49</v>
      </c>
      <c r="D65" t="s">
        <v>21</v>
      </c>
      <c r="E65" t="s">
        <v>11</v>
      </c>
      <c r="F65" t="s">
        <v>12</v>
      </c>
      <c r="G65">
        <v>5</v>
      </c>
      <c r="H65">
        <v>44.99</v>
      </c>
      <c r="I65">
        <v>224.95</v>
      </c>
    </row>
    <row r="66" spans="1:9" x14ac:dyDescent="0.2">
      <c r="A66">
        <v>65</v>
      </c>
      <c r="B66" s="2">
        <v>46059</v>
      </c>
      <c r="C66" t="s">
        <v>38</v>
      </c>
      <c r="D66" t="s">
        <v>10</v>
      </c>
      <c r="E66" t="s">
        <v>11</v>
      </c>
      <c r="F66" t="s">
        <v>12</v>
      </c>
      <c r="G66">
        <v>1</v>
      </c>
      <c r="H66">
        <v>44.99</v>
      </c>
      <c r="I66">
        <v>44.99</v>
      </c>
    </row>
    <row r="67" spans="1:9" x14ac:dyDescent="0.2">
      <c r="A67">
        <v>66</v>
      </c>
      <c r="B67" s="2">
        <v>46117</v>
      </c>
      <c r="C67" t="s">
        <v>40</v>
      </c>
      <c r="D67" t="s">
        <v>17</v>
      </c>
      <c r="E67" t="s">
        <v>39</v>
      </c>
      <c r="F67" t="s">
        <v>15</v>
      </c>
      <c r="G67">
        <v>5</v>
      </c>
      <c r="H67">
        <v>59.99</v>
      </c>
      <c r="I67">
        <v>299.95</v>
      </c>
    </row>
    <row r="68" spans="1:9" x14ac:dyDescent="0.2">
      <c r="A68">
        <v>67</v>
      </c>
      <c r="B68" s="2">
        <v>46182</v>
      </c>
      <c r="C68" t="s">
        <v>43</v>
      </c>
      <c r="D68" t="s">
        <v>35</v>
      </c>
      <c r="E68" t="s">
        <v>39</v>
      </c>
      <c r="F68" t="s">
        <v>15</v>
      </c>
      <c r="G68">
        <v>4</v>
      </c>
      <c r="H68">
        <v>59.99</v>
      </c>
      <c r="I68">
        <v>239.96</v>
      </c>
    </row>
    <row r="69" spans="1:9" x14ac:dyDescent="0.2">
      <c r="A69">
        <v>68</v>
      </c>
      <c r="B69" s="2">
        <v>46047</v>
      </c>
      <c r="C69" t="s">
        <v>41</v>
      </c>
      <c r="D69" t="s">
        <v>27</v>
      </c>
      <c r="E69" t="s">
        <v>24</v>
      </c>
      <c r="F69" t="s">
        <v>15</v>
      </c>
      <c r="G69">
        <v>2</v>
      </c>
      <c r="H69">
        <v>129.99</v>
      </c>
      <c r="I69">
        <v>259.98</v>
      </c>
    </row>
    <row r="70" spans="1:9" x14ac:dyDescent="0.2">
      <c r="A70">
        <v>69</v>
      </c>
      <c r="B70" s="2">
        <v>46054</v>
      </c>
      <c r="C70" t="s">
        <v>23</v>
      </c>
      <c r="D70" t="s">
        <v>27</v>
      </c>
      <c r="E70" t="s">
        <v>24</v>
      </c>
      <c r="F70" t="s">
        <v>15</v>
      </c>
      <c r="G70">
        <v>2</v>
      </c>
      <c r="H70">
        <v>129.99</v>
      </c>
      <c r="I70">
        <v>259.98</v>
      </c>
    </row>
    <row r="71" spans="1:9" x14ac:dyDescent="0.2">
      <c r="A71">
        <v>70</v>
      </c>
      <c r="B71" s="2">
        <v>46152</v>
      </c>
      <c r="C71" t="s">
        <v>34</v>
      </c>
      <c r="D71" t="s">
        <v>35</v>
      </c>
      <c r="E71" t="s">
        <v>24</v>
      </c>
      <c r="F71" t="s">
        <v>15</v>
      </c>
      <c r="G71">
        <v>2</v>
      </c>
      <c r="H71">
        <v>129.99</v>
      </c>
      <c r="I71">
        <v>259.98</v>
      </c>
    </row>
    <row r="72" spans="1:9" x14ac:dyDescent="0.2">
      <c r="A72">
        <v>71</v>
      </c>
      <c r="B72" s="2">
        <v>46065</v>
      </c>
      <c r="C72" t="s">
        <v>54</v>
      </c>
      <c r="D72" t="s">
        <v>10</v>
      </c>
      <c r="E72" t="s">
        <v>39</v>
      </c>
      <c r="F72" t="s">
        <v>15</v>
      </c>
      <c r="G72">
        <v>1</v>
      </c>
      <c r="H72">
        <v>59.99</v>
      </c>
      <c r="I72">
        <v>59.99</v>
      </c>
    </row>
    <row r="73" spans="1:9" x14ac:dyDescent="0.2">
      <c r="A73">
        <v>72</v>
      </c>
      <c r="B73" s="2">
        <v>46121</v>
      </c>
      <c r="C73" t="s">
        <v>30</v>
      </c>
      <c r="D73" t="s">
        <v>35</v>
      </c>
      <c r="E73" t="s">
        <v>22</v>
      </c>
      <c r="F73" t="s">
        <v>12</v>
      </c>
      <c r="G73">
        <v>2</v>
      </c>
      <c r="H73">
        <v>19.989999999999998</v>
      </c>
      <c r="I73">
        <v>39.979999999999997</v>
      </c>
    </row>
    <row r="74" spans="1:9" x14ac:dyDescent="0.2">
      <c r="A74">
        <v>73</v>
      </c>
      <c r="B74" s="2">
        <v>46157</v>
      </c>
      <c r="C74" t="s">
        <v>47</v>
      </c>
      <c r="D74" t="s">
        <v>10</v>
      </c>
      <c r="E74" t="s">
        <v>14</v>
      </c>
      <c r="F74" t="s">
        <v>15</v>
      </c>
      <c r="G74">
        <v>4</v>
      </c>
      <c r="H74">
        <v>79.989999999999995</v>
      </c>
      <c r="I74">
        <v>319.95999999999998</v>
      </c>
    </row>
    <row r="75" spans="1:9" x14ac:dyDescent="0.2">
      <c r="A75">
        <v>74</v>
      </c>
      <c r="B75" s="2">
        <v>46030</v>
      </c>
      <c r="C75" t="s">
        <v>57</v>
      </c>
      <c r="D75" t="s">
        <v>17</v>
      </c>
      <c r="E75" t="s">
        <v>11</v>
      </c>
      <c r="F75" t="s">
        <v>12</v>
      </c>
      <c r="G75">
        <v>1</v>
      </c>
      <c r="H75">
        <v>44.99</v>
      </c>
      <c r="I75">
        <v>44.99</v>
      </c>
    </row>
    <row r="76" spans="1:9" x14ac:dyDescent="0.2">
      <c r="A76">
        <v>75</v>
      </c>
      <c r="B76" s="2">
        <v>46120</v>
      </c>
      <c r="C76" t="s">
        <v>16</v>
      </c>
      <c r="D76" t="s">
        <v>21</v>
      </c>
      <c r="E76" t="s">
        <v>24</v>
      </c>
      <c r="F76" t="s">
        <v>15</v>
      </c>
      <c r="G76">
        <v>4</v>
      </c>
      <c r="H76">
        <v>129.99</v>
      </c>
      <c r="I76">
        <v>519.96</v>
      </c>
    </row>
    <row r="77" spans="1:9" x14ac:dyDescent="0.2">
      <c r="A77">
        <v>76</v>
      </c>
      <c r="B77" s="2">
        <v>46085</v>
      </c>
      <c r="C77" t="s">
        <v>44</v>
      </c>
      <c r="D77" t="s">
        <v>27</v>
      </c>
      <c r="E77" t="s">
        <v>39</v>
      </c>
      <c r="F77" t="s">
        <v>15</v>
      </c>
      <c r="G77">
        <v>2</v>
      </c>
      <c r="H77">
        <v>59.99</v>
      </c>
      <c r="I77">
        <v>119.98</v>
      </c>
    </row>
    <row r="78" spans="1:9" x14ac:dyDescent="0.2">
      <c r="A78">
        <v>77</v>
      </c>
      <c r="B78" s="2">
        <v>46202</v>
      </c>
      <c r="C78" t="s">
        <v>41</v>
      </c>
      <c r="D78" t="s">
        <v>21</v>
      </c>
      <c r="E78" t="s">
        <v>22</v>
      </c>
      <c r="F78" t="s">
        <v>12</v>
      </c>
      <c r="G78">
        <v>1</v>
      </c>
      <c r="H78">
        <v>19.989999999999998</v>
      </c>
      <c r="I78">
        <v>19.989999999999998</v>
      </c>
    </row>
    <row r="79" spans="1:9" x14ac:dyDescent="0.2">
      <c r="A79">
        <v>78</v>
      </c>
      <c r="B79" s="2">
        <v>46030</v>
      </c>
      <c r="C79" t="s">
        <v>60</v>
      </c>
      <c r="D79" t="s">
        <v>17</v>
      </c>
      <c r="E79" t="s">
        <v>11</v>
      </c>
      <c r="F79" t="s">
        <v>12</v>
      </c>
      <c r="G79">
        <v>5</v>
      </c>
      <c r="H79">
        <v>44.99</v>
      </c>
      <c r="I79">
        <v>224.95</v>
      </c>
    </row>
    <row r="80" spans="1:9" x14ac:dyDescent="0.2">
      <c r="A80">
        <v>79</v>
      </c>
      <c r="B80" s="2">
        <v>46028</v>
      </c>
      <c r="C80" t="s">
        <v>36</v>
      </c>
      <c r="D80" t="s">
        <v>17</v>
      </c>
      <c r="E80" t="s">
        <v>14</v>
      </c>
      <c r="F80" t="s">
        <v>15</v>
      </c>
      <c r="G80">
        <v>4</v>
      </c>
      <c r="H80">
        <v>79.989999999999995</v>
      </c>
      <c r="I80">
        <v>319.95999999999998</v>
      </c>
    </row>
    <row r="81" spans="1:9" x14ac:dyDescent="0.2">
      <c r="A81">
        <v>80</v>
      </c>
      <c r="B81" s="2">
        <v>46077</v>
      </c>
      <c r="C81" t="s">
        <v>61</v>
      </c>
      <c r="D81" t="s">
        <v>17</v>
      </c>
      <c r="E81" t="s">
        <v>19</v>
      </c>
      <c r="F81" t="s">
        <v>12</v>
      </c>
      <c r="G81">
        <v>3</v>
      </c>
      <c r="H81">
        <v>34.99</v>
      </c>
      <c r="I81">
        <v>104.97</v>
      </c>
    </row>
    <row r="82" spans="1:9" x14ac:dyDescent="0.2">
      <c r="A82">
        <v>81</v>
      </c>
      <c r="B82" s="2">
        <v>46146</v>
      </c>
      <c r="C82" t="s">
        <v>41</v>
      </c>
      <c r="D82" t="s">
        <v>21</v>
      </c>
      <c r="E82" t="s">
        <v>14</v>
      </c>
      <c r="F82" t="s">
        <v>15</v>
      </c>
      <c r="G82">
        <v>2</v>
      </c>
      <c r="H82">
        <v>79.989999999999995</v>
      </c>
      <c r="I82">
        <v>159.97999999999999</v>
      </c>
    </row>
    <row r="83" spans="1:9" x14ac:dyDescent="0.2">
      <c r="A83">
        <v>82</v>
      </c>
      <c r="B83" s="2">
        <v>46114</v>
      </c>
      <c r="C83" t="s">
        <v>34</v>
      </c>
      <c r="D83" t="s">
        <v>10</v>
      </c>
      <c r="E83" t="s">
        <v>39</v>
      </c>
      <c r="F83" t="s">
        <v>15</v>
      </c>
      <c r="G83">
        <v>3</v>
      </c>
      <c r="H83">
        <v>59.99</v>
      </c>
      <c r="I83">
        <v>179.97</v>
      </c>
    </row>
    <row r="84" spans="1:9" x14ac:dyDescent="0.2">
      <c r="A84">
        <v>83</v>
      </c>
      <c r="B84" s="2">
        <v>46084</v>
      </c>
      <c r="C84" t="s">
        <v>43</v>
      </c>
      <c r="D84" t="s">
        <v>35</v>
      </c>
      <c r="E84" t="s">
        <v>22</v>
      </c>
      <c r="F84" t="s">
        <v>12</v>
      </c>
      <c r="G84">
        <v>5</v>
      </c>
      <c r="H84">
        <v>19.989999999999998</v>
      </c>
      <c r="I84">
        <v>99.95</v>
      </c>
    </row>
    <row r="85" spans="1:9" x14ac:dyDescent="0.2">
      <c r="A85">
        <v>84</v>
      </c>
      <c r="B85" s="2">
        <v>46151</v>
      </c>
      <c r="C85" t="s">
        <v>62</v>
      </c>
      <c r="D85" t="s">
        <v>27</v>
      </c>
      <c r="E85" t="s">
        <v>11</v>
      </c>
      <c r="F85" t="s">
        <v>12</v>
      </c>
      <c r="G85">
        <v>5</v>
      </c>
      <c r="H85">
        <v>44.99</v>
      </c>
      <c r="I85">
        <v>224.95</v>
      </c>
    </row>
    <row r="86" spans="1:9" x14ac:dyDescent="0.2">
      <c r="A86">
        <v>85</v>
      </c>
      <c r="B86" s="2">
        <v>46139</v>
      </c>
      <c r="C86" t="s">
        <v>62</v>
      </c>
      <c r="D86" t="s">
        <v>10</v>
      </c>
      <c r="E86" t="s">
        <v>19</v>
      </c>
      <c r="F86" t="s">
        <v>12</v>
      </c>
      <c r="G86">
        <v>1</v>
      </c>
      <c r="H86">
        <v>34.99</v>
      </c>
      <c r="I86">
        <v>34.99</v>
      </c>
    </row>
    <row r="87" spans="1:9" x14ac:dyDescent="0.2">
      <c r="A87">
        <v>86</v>
      </c>
      <c r="B87" s="2">
        <v>46098</v>
      </c>
      <c r="C87" t="s">
        <v>34</v>
      </c>
      <c r="D87" t="s">
        <v>21</v>
      </c>
      <c r="E87" t="s">
        <v>14</v>
      </c>
      <c r="F87" t="s">
        <v>15</v>
      </c>
      <c r="G87">
        <v>5</v>
      </c>
      <c r="H87">
        <v>79.989999999999995</v>
      </c>
      <c r="I87">
        <v>399.95</v>
      </c>
    </row>
    <row r="88" spans="1:9" x14ac:dyDescent="0.2">
      <c r="A88">
        <v>87</v>
      </c>
      <c r="B88" s="2">
        <v>46051</v>
      </c>
      <c r="C88" t="s">
        <v>28</v>
      </c>
      <c r="D88" t="s">
        <v>17</v>
      </c>
      <c r="E88" t="s">
        <v>14</v>
      </c>
      <c r="F88" t="s">
        <v>15</v>
      </c>
      <c r="G88">
        <v>1</v>
      </c>
      <c r="H88">
        <v>79.989999999999995</v>
      </c>
      <c r="I88">
        <v>79.989999999999995</v>
      </c>
    </row>
    <row r="89" spans="1:9" x14ac:dyDescent="0.2">
      <c r="A89">
        <v>88</v>
      </c>
      <c r="B89" s="2">
        <v>46116</v>
      </c>
      <c r="C89" t="s">
        <v>57</v>
      </c>
      <c r="D89" t="s">
        <v>17</v>
      </c>
      <c r="E89" t="s">
        <v>14</v>
      </c>
      <c r="F89" t="s">
        <v>15</v>
      </c>
      <c r="G89">
        <v>1</v>
      </c>
      <c r="H89">
        <v>79.989999999999995</v>
      </c>
      <c r="I89">
        <v>79.989999999999995</v>
      </c>
    </row>
    <row r="90" spans="1:9" x14ac:dyDescent="0.2">
      <c r="A90">
        <v>89</v>
      </c>
      <c r="B90" s="2">
        <v>46166</v>
      </c>
      <c r="C90" t="s">
        <v>34</v>
      </c>
      <c r="D90" t="s">
        <v>27</v>
      </c>
      <c r="E90" t="s">
        <v>14</v>
      </c>
      <c r="F90" t="s">
        <v>15</v>
      </c>
      <c r="G90">
        <v>4</v>
      </c>
      <c r="H90">
        <v>79.989999999999995</v>
      </c>
      <c r="I90">
        <v>319.95999999999998</v>
      </c>
    </row>
    <row r="91" spans="1:9" x14ac:dyDescent="0.2">
      <c r="A91">
        <v>90</v>
      </c>
      <c r="B91" s="2">
        <v>46055</v>
      </c>
      <c r="C91" t="s">
        <v>63</v>
      </c>
      <c r="D91" t="s">
        <v>10</v>
      </c>
      <c r="E91" t="s">
        <v>14</v>
      </c>
      <c r="F91" t="s">
        <v>15</v>
      </c>
      <c r="G91">
        <v>4</v>
      </c>
      <c r="H91">
        <v>79.989999999999995</v>
      </c>
      <c r="I91">
        <v>319.95999999999998</v>
      </c>
    </row>
    <row r="92" spans="1:9" x14ac:dyDescent="0.2">
      <c r="A92">
        <v>91</v>
      </c>
      <c r="B92" s="2">
        <v>46091</v>
      </c>
      <c r="C92" t="s">
        <v>47</v>
      </c>
      <c r="D92" t="s">
        <v>27</v>
      </c>
      <c r="E92" t="s">
        <v>22</v>
      </c>
      <c r="F92" t="s">
        <v>12</v>
      </c>
      <c r="G92">
        <v>2</v>
      </c>
      <c r="H92">
        <v>19.989999999999998</v>
      </c>
      <c r="I92">
        <v>39.979999999999997</v>
      </c>
    </row>
    <row r="93" spans="1:9" x14ac:dyDescent="0.2">
      <c r="A93">
        <v>92</v>
      </c>
      <c r="B93" s="2">
        <v>46169</v>
      </c>
      <c r="C93" t="s">
        <v>56</v>
      </c>
      <c r="D93" t="s">
        <v>35</v>
      </c>
      <c r="E93" t="s">
        <v>11</v>
      </c>
      <c r="F93" t="s">
        <v>12</v>
      </c>
      <c r="G93">
        <v>2</v>
      </c>
      <c r="H93">
        <v>44.99</v>
      </c>
      <c r="I93">
        <v>89.98</v>
      </c>
    </row>
    <row r="94" spans="1:9" x14ac:dyDescent="0.2">
      <c r="A94">
        <v>93</v>
      </c>
      <c r="B94" s="2">
        <v>46026</v>
      </c>
      <c r="C94" t="s">
        <v>55</v>
      </c>
      <c r="D94" t="s">
        <v>27</v>
      </c>
      <c r="E94" t="s">
        <v>14</v>
      </c>
      <c r="F94" t="s">
        <v>15</v>
      </c>
      <c r="G94">
        <v>5</v>
      </c>
      <c r="H94">
        <v>79.989999999999995</v>
      </c>
      <c r="I94">
        <v>399.95</v>
      </c>
    </row>
    <row r="95" spans="1:9" x14ac:dyDescent="0.2">
      <c r="A95">
        <v>94</v>
      </c>
      <c r="B95" s="2">
        <v>46150</v>
      </c>
      <c r="C95" t="s">
        <v>56</v>
      </c>
      <c r="D95" t="s">
        <v>21</v>
      </c>
      <c r="E95" t="s">
        <v>39</v>
      </c>
      <c r="F95" t="s">
        <v>15</v>
      </c>
      <c r="G95">
        <v>4</v>
      </c>
      <c r="H95">
        <v>59.99</v>
      </c>
      <c r="I95">
        <v>239.96</v>
      </c>
    </row>
    <row r="96" spans="1:9" x14ac:dyDescent="0.2">
      <c r="A96">
        <v>95</v>
      </c>
      <c r="B96" s="2">
        <v>46200</v>
      </c>
      <c r="C96" t="s">
        <v>40</v>
      </c>
      <c r="D96" t="s">
        <v>17</v>
      </c>
      <c r="E96" t="s">
        <v>11</v>
      </c>
      <c r="F96" t="s">
        <v>12</v>
      </c>
      <c r="G96">
        <v>4</v>
      </c>
      <c r="H96">
        <v>44.99</v>
      </c>
      <c r="I96">
        <v>179.96</v>
      </c>
    </row>
    <row r="97" spans="1:9" x14ac:dyDescent="0.2">
      <c r="A97">
        <v>96</v>
      </c>
      <c r="B97" s="2">
        <v>46201</v>
      </c>
      <c r="C97" t="s">
        <v>9</v>
      </c>
      <c r="D97" t="s">
        <v>10</v>
      </c>
      <c r="E97" t="s">
        <v>39</v>
      </c>
      <c r="F97" t="s">
        <v>15</v>
      </c>
      <c r="G97">
        <v>1</v>
      </c>
      <c r="H97">
        <v>59.99</v>
      </c>
      <c r="I97">
        <v>59.99</v>
      </c>
    </row>
    <row r="98" spans="1:9" x14ac:dyDescent="0.2">
      <c r="A98">
        <v>97</v>
      </c>
      <c r="B98" s="2">
        <v>46087</v>
      </c>
      <c r="C98" t="s">
        <v>18</v>
      </c>
      <c r="D98" t="s">
        <v>27</v>
      </c>
      <c r="E98" t="s">
        <v>11</v>
      </c>
      <c r="F98" t="s">
        <v>12</v>
      </c>
      <c r="G98">
        <v>3</v>
      </c>
      <c r="H98">
        <v>44.99</v>
      </c>
      <c r="I98">
        <v>134.97</v>
      </c>
    </row>
    <row r="99" spans="1:9" x14ac:dyDescent="0.2">
      <c r="A99">
        <v>98</v>
      </c>
      <c r="B99" s="2">
        <v>46051</v>
      </c>
      <c r="C99" t="s">
        <v>45</v>
      </c>
      <c r="D99" t="s">
        <v>17</v>
      </c>
      <c r="E99" t="s">
        <v>24</v>
      </c>
      <c r="F99" t="s">
        <v>15</v>
      </c>
      <c r="G99">
        <v>4</v>
      </c>
      <c r="H99">
        <v>129.99</v>
      </c>
      <c r="I99">
        <v>519.96</v>
      </c>
    </row>
    <row r="100" spans="1:9" x14ac:dyDescent="0.2">
      <c r="A100">
        <v>99</v>
      </c>
      <c r="B100" s="2">
        <v>46057</v>
      </c>
      <c r="C100" t="s">
        <v>43</v>
      </c>
      <c r="D100" t="s">
        <v>35</v>
      </c>
      <c r="E100" t="s">
        <v>19</v>
      </c>
      <c r="F100" t="s">
        <v>12</v>
      </c>
      <c r="G100">
        <v>2</v>
      </c>
      <c r="H100">
        <v>34.99</v>
      </c>
      <c r="I100">
        <v>69.98</v>
      </c>
    </row>
    <row r="101" spans="1:9" x14ac:dyDescent="0.2">
      <c r="A101">
        <v>100</v>
      </c>
      <c r="B101" s="2">
        <v>46176</v>
      </c>
      <c r="C101" t="s">
        <v>32</v>
      </c>
      <c r="D101" t="s">
        <v>27</v>
      </c>
      <c r="E101" t="s">
        <v>22</v>
      </c>
      <c r="F101" t="s">
        <v>12</v>
      </c>
      <c r="G101">
        <v>5</v>
      </c>
      <c r="H101">
        <v>19.989999999999998</v>
      </c>
      <c r="I101">
        <v>99.95</v>
      </c>
    </row>
    <row r="102" spans="1:9" x14ac:dyDescent="0.2">
      <c r="A102">
        <v>101</v>
      </c>
      <c r="B102" s="2">
        <v>46137</v>
      </c>
      <c r="C102" t="s">
        <v>64</v>
      </c>
      <c r="D102" t="s">
        <v>17</v>
      </c>
      <c r="E102" t="s">
        <v>19</v>
      </c>
      <c r="F102" t="s">
        <v>12</v>
      </c>
      <c r="G102">
        <v>2</v>
      </c>
      <c r="H102">
        <v>34.99</v>
      </c>
      <c r="I102">
        <v>69.98</v>
      </c>
    </row>
    <row r="103" spans="1:9" x14ac:dyDescent="0.2">
      <c r="A103">
        <v>102</v>
      </c>
      <c r="B103" s="2">
        <v>46136</v>
      </c>
      <c r="C103" t="s">
        <v>36</v>
      </c>
      <c r="D103" t="s">
        <v>21</v>
      </c>
      <c r="E103" t="s">
        <v>22</v>
      </c>
      <c r="F103" t="s">
        <v>12</v>
      </c>
      <c r="G103">
        <v>5</v>
      </c>
      <c r="H103">
        <v>19.989999999999998</v>
      </c>
      <c r="I103">
        <v>99.95</v>
      </c>
    </row>
    <row r="104" spans="1:9" x14ac:dyDescent="0.2">
      <c r="A104">
        <v>103</v>
      </c>
      <c r="B104" s="2">
        <v>46043</v>
      </c>
      <c r="C104" t="s">
        <v>47</v>
      </c>
      <c r="D104" t="s">
        <v>27</v>
      </c>
      <c r="E104" t="s">
        <v>14</v>
      </c>
      <c r="F104" t="s">
        <v>15</v>
      </c>
      <c r="G104">
        <v>4</v>
      </c>
      <c r="H104">
        <v>79.989999999999995</v>
      </c>
      <c r="I104">
        <v>319.95999999999998</v>
      </c>
    </row>
    <row r="105" spans="1:9" x14ac:dyDescent="0.2">
      <c r="A105">
        <v>104</v>
      </c>
      <c r="B105" s="2">
        <v>46174</v>
      </c>
      <c r="C105" t="s">
        <v>40</v>
      </c>
      <c r="D105" t="s">
        <v>35</v>
      </c>
      <c r="E105" t="s">
        <v>14</v>
      </c>
      <c r="F105" t="s">
        <v>15</v>
      </c>
      <c r="G105">
        <v>1</v>
      </c>
      <c r="H105">
        <v>79.989999999999995</v>
      </c>
      <c r="I105">
        <v>79.989999999999995</v>
      </c>
    </row>
    <row r="106" spans="1:9" x14ac:dyDescent="0.2">
      <c r="A106">
        <v>105</v>
      </c>
      <c r="B106" s="2">
        <v>46118</v>
      </c>
      <c r="C106" t="s">
        <v>38</v>
      </c>
      <c r="D106" t="s">
        <v>10</v>
      </c>
      <c r="E106" t="s">
        <v>24</v>
      </c>
      <c r="F106" t="s">
        <v>15</v>
      </c>
      <c r="G106">
        <v>4</v>
      </c>
      <c r="H106">
        <v>129.99</v>
      </c>
      <c r="I106">
        <v>519.96</v>
      </c>
    </row>
    <row r="107" spans="1:9" x14ac:dyDescent="0.2">
      <c r="A107">
        <v>106</v>
      </c>
      <c r="B107" s="2">
        <v>46035</v>
      </c>
      <c r="C107" t="s">
        <v>43</v>
      </c>
      <c r="D107" t="s">
        <v>35</v>
      </c>
      <c r="E107" t="s">
        <v>11</v>
      </c>
      <c r="F107" t="s">
        <v>12</v>
      </c>
      <c r="G107">
        <v>1</v>
      </c>
      <c r="H107">
        <v>44.99</v>
      </c>
      <c r="I107">
        <v>44.99</v>
      </c>
    </row>
    <row r="108" spans="1:9" x14ac:dyDescent="0.2">
      <c r="A108">
        <v>107</v>
      </c>
      <c r="B108" s="2">
        <v>46052</v>
      </c>
      <c r="C108" t="s">
        <v>59</v>
      </c>
      <c r="D108" t="s">
        <v>35</v>
      </c>
      <c r="E108" t="s">
        <v>24</v>
      </c>
      <c r="F108" t="s">
        <v>15</v>
      </c>
      <c r="G108">
        <v>1</v>
      </c>
      <c r="H108">
        <v>129.99</v>
      </c>
      <c r="I108">
        <v>129.99</v>
      </c>
    </row>
    <row r="109" spans="1:9" x14ac:dyDescent="0.2">
      <c r="A109">
        <v>108</v>
      </c>
      <c r="B109" s="2">
        <v>46134</v>
      </c>
      <c r="C109" t="s">
        <v>37</v>
      </c>
      <c r="D109" t="s">
        <v>10</v>
      </c>
      <c r="E109" t="s">
        <v>19</v>
      </c>
      <c r="F109" t="s">
        <v>12</v>
      </c>
      <c r="G109">
        <v>4</v>
      </c>
      <c r="H109">
        <v>34.99</v>
      </c>
      <c r="I109">
        <v>139.96</v>
      </c>
    </row>
    <row r="110" spans="1:9" x14ac:dyDescent="0.2">
      <c r="A110">
        <v>109</v>
      </c>
      <c r="B110" s="2">
        <v>46199</v>
      </c>
      <c r="C110" t="s">
        <v>47</v>
      </c>
      <c r="D110" t="s">
        <v>17</v>
      </c>
      <c r="E110" t="s">
        <v>24</v>
      </c>
      <c r="F110" t="s">
        <v>15</v>
      </c>
      <c r="G110">
        <v>3</v>
      </c>
      <c r="H110">
        <v>129.99</v>
      </c>
      <c r="I110">
        <v>389.97</v>
      </c>
    </row>
    <row r="111" spans="1:9" x14ac:dyDescent="0.2">
      <c r="A111">
        <v>110</v>
      </c>
      <c r="B111" s="2">
        <v>46169</v>
      </c>
      <c r="C111" t="s">
        <v>65</v>
      </c>
      <c r="D111" t="s">
        <v>35</v>
      </c>
      <c r="E111" t="s">
        <v>14</v>
      </c>
      <c r="F111" t="s">
        <v>15</v>
      </c>
      <c r="G111">
        <v>1</v>
      </c>
      <c r="H111">
        <v>79.989999999999995</v>
      </c>
      <c r="I111">
        <v>79.989999999999995</v>
      </c>
    </row>
    <row r="112" spans="1:9" x14ac:dyDescent="0.2">
      <c r="A112">
        <v>111</v>
      </c>
      <c r="B112" s="2">
        <v>46105</v>
      </c>
      <c r="C112" t="s">
        <v>23</v>
      </c>
      <c r="D112" t="s">
        <v>10</v>
      </c>
      <c r="E112" t="s">
        <v>11</v>
      </c>
      <c r="F112" t="s">
        <v>12</v>
      </c>
      <c r="G112">
        <v>4</v>
      </c>
      <c r="H112">
        <v>44.99</v>
      </c>
      <c r="I112">
        <v>179.96</v>
      </c>
    </row>
    <row r="113" spans="1:9" x14ac:dyDescent="0.2">
      <c r="A113">
        <v>112</v>
      </c>
      <c r="B113" s="2">
        <v>46162</v>
      </c>
      <c r="C113" t="s">
        <v>37</v>
      </c>
      <c r="D113" t="s">
        <v>17</v>
      </c>
      <c r="E113" t="s">
        <v>14</v>
      </c>
      <c r="F113" t="s">
        <v>15</v>
      </c>
      <c r="G113">
        <v>3</v>
      </c>
      <c r="H113">
        <v>79.989999999999995</v>
      </c>
      <c r="I113">
        <v>239.97</v>
      </c>
    </row>
    <row r="114" spans="1:9" x14ac:dyDescent="0.2">
      <c r="A114">
        <v>113</v>
      </c>
      <c r="B114" s="2">
        <v>46075</v>
      </c>
      <c r="C114" t="s">
        <v>43</v>
      </c>
      <c r="D114" t="s">
        <v>35</v>
      </c>
      <c r="E114" t="s">
        <v>24</v>
      </c>
      <c r="F114" t="s">
        <v>15</v>
      </c>
      <c r="G114">
        <v>5</v>
      </c>
      <c r="H114">
        <v>129.99</v>
      </c>
      <c r="I114">
        <v>649.95000000000005</v>
      </c>
    </row>
    <row r="115" spans="1:9" x14ac:dyDescent="0.2">
      <c r="A115">
        <v>114</v>
      </c>
      <c r="B115" s="2">
        <v>46064</v>
      </c>
      <c r="C115" t="s">
        <v>26</v>
      </c>
      <c r="D115" t="s">
        <v>27</v>
      </c>
      <c r="E115" t="s">
        <v>14</v>
      </c>
      <c r="F115" t="s">
        <v>15</v>
      </c>
      <c r="G115">
        <v>5</v>
      </c>
      <c r="H115">
        <v>79.989999999999995</v>
      </c>
      <c r="I115">
        <v>399.95</v>
      </c>
    </row>
    <row r="116" spans="1:9" x14ac:dyDescent="0.2">
      <c r="A116">
        <v>115</v>
      </c>
      <c r="B116" s="2">
        <v>46097</v>
      </c>
      <c r="C116" t="s">
        <v>66</v>
      </c>
      <c r="D116" t="s">
        <v>17</v>
      </c>
      <c r="E116" t="s">
        <v>14</v>
      </c>
      <c r="F116" t="s">
        <v>15</v>
      </c>
      <c r="G116">
        <v>3</v>
      </c>
      <c r="H116">
        <v>79.989999999999995</v>
      </c>
      <c r="I116">
        <v>239.97</v>
      </c>
    </row>
    <row r="117" spans="1:9" x14ac:dyDescent="0.2">
      <c r="A117">
        <v>116</v>
      </c>
      <c r="B117" s="2">
        <v>46167</v>
      </c>
      <c r="C117" t="s">
        <v>53</v>
      </c>
      <c r="D117" t="s">
        <v>10</v>
      </c>
      <c r="E117" t="s">
        <v>39</v>
      </c>
      <c r="F117" t="s">
        <v>15</v>
      </c>
      <c r="G117">
        <v>2</v>
      </c>
      <c r="H117">
        <v>59.99</v>
      </c>
      <c r="I117">
        <v>119.98</v>
      </c>
    </row>
    <row r="118" spans="1:9" x14ac:dyDescent="0.2">
      <c r="A118">
        <v>117</v>
      </c>
      <c r="B118" s="2">
        <v>46200</v>
      </c>
      <c r="C118" t="s">
        <v>51</v>
      </c>
      <c r="D118" t="s">
        <v>27</v>
      </c>
      <c r="E118" t="s">
        <v>22</v>
      </c>
      <c r="F118" t="s">
        <v>12</v>
      </c>
      <c r="G118">
        <v>1</v>
      </c>
      <c r="H118">
        <v>19.989999999999998</v>
      </c>
      <c r="I118">
        <v>19.989999999999998</v>
      </c>
    </row>
    <row r="119" spans="1:9" x14ac:dyDescent="0.2">
      <c r="A119">
        <v>118</v>
      </c>
      <c r="B119" s="2">
        <v>46051</v>
      </c>
      <c r="C119" t="s">
        <v>67</v>
      </c>
      <c r="D119" t="s">
        <v>21</v>
      </c>
      <c r="E119" t="s">
        <v>22</v>
      </c>
      <c r="F119" t="s">
        <v>12</v>
      </c>
      <c r="G119">
        <v>5</v>
      </c>
      <c r="H119">
        <v>19.989999999999998</v>
      </c>
      <c r="I119">
        <v>99.95</v>
      </c>
    </row>
    <row r="120" spans="1:9" x14ac:dyDescent="0.2">
      <c r="A120">
        <v>119</v>
      </c>
      <c r="B120" s="2">
        <v>46108</v>
      </c>
      <c r="C120" t="s">
        <v>59</v>
      </c>
      <c r="D120" t="s">
        <v>35</v>
      </c>
      <c r="E120" t="s">
        <v>14</v>
      </c>
      <c r="F120" t="s">
        <v>15</v>
      </c>
      <c r="G120">
        <v>1</v>
      </c>
      <c r="H120">
        <v>79.989999999999995</v>
      </c>
      <c r="I120">
        <v>79.989999999999995</v>
      </c>
    </row>
    <row r="121" spans="1:9" x14ac:dyDescent="0.2">
      <c r="A121">
        <v>120</v>
      </c>
      <c r="B121" s="2">
        <v>46058</v>
      </c>
      <c r="C121" t="s">
        <v>49</v>
      </c>
      <c r="D121" t="s">
        <v>17</v>
      </c>
      <c r="E121" t="s">
        <v>14</v>
      </c>
      <c r="F121" t="s">
        <v>15</v>
      </c>
      <c r="G121">
        <v>4</v>
      </c>
      <c r="H121">
        <v>79.989999999999995</v>
      </c>
      <c r="I121">
        <v>319.95999999999998</v>
      </c>
    </row>
    <row r="122" spans="1:9" x14ac:dyDescent="0.2">
      <c r="A122">
        <v>121</v>
      </c>
      <c r="B122" s="2">
        <v>46130</v>
      </c>
      <c r="C122" t="s">
        <v>26</v>
      </c>
      <c r="D122" t="s">
        <v>21</v>
      </c>
      <c r="E122" t="s">
        <v>24</v>
      </c>
      <c r="F122" t="s">
        <v>15</v>
      </c>
      <c r="G122">
        <v>5</v>
      </c>
      <c r="H122">
        <v>129.99</v>
      </c>
      <c r="I122">
        <v>649.95000000000005</v>
      </c>
    </row>
    <row r="123" spans="1:9" x14ac:dyDescent="0.2">
      <c r="A123">
        <v>122</v>
      </c>
      <c r="B123" s="2">
        <v>46041</v>
      </c>
      <c r="C123" t="s">
        <v>26</v>
      </c>
      <c r="D123" t="s">
        <v>21</v>
      </c>
      <c r="E123" t="s">
        <v>22</v>
      </c>
      <c r="F123" t="s">
        <v>12</v>
      </c>
      <c r="G123">
        <v>2</v>
      </c>
      <c r="H123">
        <v>19.989999999999998</v>
      </c>
      <c r="I123">
        <v>39.979999999999997</v>
      </c>
    </row>
    <row r="124" spans="1:9" x14ac:dyDescent="0.2">
      <c r="A124">
        <v>123</v>
      </c>
      <c r="B124" s="2">
        <v>46148</v>
      </c>
      <c r="C124" t="s">
        <v>50</v>
      </c>
      <c r="D124" t="s">
        <v>17</v>
      </c>
      <c r="E124" t="s">
        <v>14</v>
      </c>
      <c r="F124" t="s">
        <v>15</v>
      </c>
      <c r="G124">
        <v>5</v>
      </c>
      <c r="H124">
        <v>79.989999999999995</v>
      </c>
      <c r="I124">
        <v>399.95</v>
      </c>
    </row>
    <row r="125" spans="1:9" x14ac:dyDescent="0.2">
      <c r="A125">
        <v>124</v>
      </c>
      <c r="B125" s="2">
        <v>46189</v>
      </c>
      <c r="C125" t="s">
        <v>62</v>
      </c>
      <c r="D125" t="s">
        <v>21</v>
      </c>
      <c r="E125" t="s">
        <v>14</v>
      </c>
      <c r="F125" t="s">
        <v>15</v>
      </c>
      <c r="G125">
        <v>1</v>
      </c>
      <c r="H125">
        <v>79.989999999999995</v>
      </c>
      <c r="I125">
        <v>79.989999999999995</v>
      </c>
    </row>
    <row r="126" spans="1:9" x14ac:dyDescent="0.2">
      <c r="A126">
        <v>125</v>
      </c>
      <c r="B126" s="2">
        <v>46135</v>
      </c>
      <c r="C126" t="s">
        <v>37</v>
      </c>
      <c r="D126" t="s">
        <v>35</v>
      </c>
      <c r="E126" t="s">
        <v>14</v>
      </c>
      <c r="F126" t="s">
        <v>15</v>
      </c>
      <c r="G126">
        <v>4</v>
      </c>
      <c r="H126">
        <v>79.989999999999995</v>
      </c>
      <c r="I126">
        <v>319.95999999999998</v>
      </c>
    </row>
    <row r="127" spans="1:9" x14ac:dyDescent="0.2">
      <c r="A127">
        <v>126</v>
      </c>
      <c r="B127" s="2">
        <v>46156</v>
      </c>
      <c r="C127" t="s">
        <v>60</v>
      </c>
      <c r="D127" t="s">
        <v>10</v>
      </c>
      <c r="E127" t="s">
        <v>19</v>
      </c>
      <c r="F127" t="s">
        <v>12</v>
      </c>
      <c r="G127">
        <v>5</v>
      </c>
      <c r="H127">
        <v>34.99</v>
      </c>
      <c r="I127">
        <v>174.95</v>
      </c>
    </row>
    <row r="128" spans="1:9" x14ac:dyDescent="0.2">
      <c r="A128">
        <v>127</v>
      </c>
      <c r="B128" s="2">
        <v>46069</v>
      </c>
      <c r="C128" t="s">
        <v>33</v>
      </c>
      <c r="D128" t="s">
        <v>10</v>
      </c>
      <c r="E128" t="s">
        <v>14</v>
      </c>
      <c r="F128" t="s">
        <v>15</v>
      </c>
      <c r="G128">
        <v>5</v>
      </c>
      <c r="H128">
        <v>79.989999999999995</v>
      </c>
      <c r="I128">
        <v>399.95</v>
      </c>
    </row>
    <row r="129" spans="1:9" x14ac:dyDescent="0.2">
      <c r="A129">
        <v>128</v>
      </c>
      <c r="B129" s="2">
        <v>46186</v>
      </c>
      <c r="C129" t="s">
        <v>40</v>
      </c>
      <c r="D129" t="s">
        <v>21</v>
      </c>
      <c r="E129" t="s">
        <v>24</v>
      </c>
      <c r="F129" t="s">
        <v>15</v>
      </c>
      <c r="G129">
        <v>4</v>
      </c>
      <c r="H129">
        <v>129.99</v>
      </c>
      <c r="I129">
        <v>519.96</v>
      </c>
    </row>
    <row r="130" spans="1:9" x14ac:dyDescent="0.2">
      <c r="A130">
        <v>129</v>
      </c>
      <c r="B130" s="2">
        <v>46168</v>
      </c>
      <c r="C130" t="s">
        <v>23</v>
      </c>
      <c r="D130" t="s">
        <v>35</v>
      </c>
      <c r="E130" t="s">
        <v>11</v>
      </c>
      <c r="F130" t="s">
        <v>12</v>
      </c>
      <c r="G130">
        <v>1</v>
      </c>
      <c r="H130">
        <v>44.99</v>
      </c>
      <c r="I130">
        <v>44.99</v>
      </c>
    </row>
    <row r="131" spans="1:9" x14ac:dyDescent="0.2">
      <c r="A131">
        <v>130</v>
      </c>
      <c r="B131" s="2">
        <v>46139</v>
      </c>
      <c r="C131" t="s">
        <v>25</v>
      </c>
      <c r="D131" t="s">
        <v>35</v>
      </c>
      <c r="E131" t="s">
        <v>39</v>
      </c>
      <c r="F131" t="s">
        <v>15</v>
      </c>
      <c r="G131">
        <v>1</v>
      </c>
      <c r="H131">
        <v>59.99</v>
      </c>
      <c r="I131">
        <v>59.99</v>
      </c>
    </row>
    <row r="132" spans="1:9" x14ac:dyDescent="0.2">
      <c r="A132">
        <v>131</v>
      </c>
      <c r="B132" s="2">
        <v>46096</v>
      </c>
      <c r="C132" t="s">
        <v>56</v>
      </c>
      <c r="D132" t="s">
        <v>17</v>
      </c>
      <c r="E132" t="s">
        <v>24</v>
      </c>
      <c r="F132" t="s">
        <v>15</v>
      </c>
      <c r="G132">
        <v>4</v>
      </c>
      <c r="H132">
        <v>129.99</v>
      </c>
      <c r="I132">
        <v>519.96</v>
      </c>
    </row>
    <row r="133" spans="1:9" x14ac:dyDescent="0.2">
      <c r="A133">
        <v>132</v>
      </c>
      <c r="B133" s="2">
        <v>46030</v>
      </c>
      <c r="C133" t="s">
        <v>48</v>
      </c>
      <c r="D133" t="s">
        <v>17</v>
      </c>
      <c r="E133" t="s">
        <v>11</v>
      </c>
      <c r="F133" t="s">
        <v>12</v>
      </c>
      <c r="G133">
        <v>5</v>
      </c>
      <c r="H133">
        <v>44.99</v>
      </c>
      <c r="I133">
        <v>224.95</v>
      </c>
    </row>
    <row r="134" spans="1:9" x14ac:dyDescent="0.2">
      <c r="A134">
        <v>133</v>
      </c>
      <c r="B134" s="2">
        <v>46082</v>
      </c>
      <c r="C134" t="s">
        <v>30</v>
      </c>
      <c r="D134" t="s">
        <v>17</v>
      </c>
      <c r="E134" t="s">
        <v>22</v>
      </c>
      <c r="F134" t="s">
        <v>12</v>
      </c>
      <c r="G134">
        <v>2</v>
      </c>
      <c r="H134">
        <v>19.989999999999998</v>
      </c>
      <c r="I134">
        <v>39.979999999999997</v>
      </c>
    </row>
    <row r="135" spans="1:9" x14ac:dyDescent="0.2">
      <c r="A135">
        <v>134</v>
      </c>
      <c r="B135" s="2">
        <v>46063</v>
      </c>
      <c r="C135" t="s">
        <v>47</v>
      </c>
      <c r="D135" t="s">
        <v>21</v>
      </c>
      <c r="E135" t="s">
        <v>11</v>
      </c>
      <c r="F135" t="s">
        <v>12</v>
      </c>
      <c r="G135">
        <v>5</v>
      </c>
      <c r="H135">
        <v>44.99</v>
      </c>
      <c r="I135">
        <v>224.95</v>
      </c>
    </row>
    <row r="136" spans="1:9" x14ac:dyDescent="0.2">
      <c r="A136">
        <v>135</v>
      </c>
      <c r="B136" s="2">
        <v>46183</v>
      </c>
      <c r="C136" t="s">
        <v>50</v>
      </c>
      <c r="D136" t="s">
        <v>10</v>
      </c>
      <c r="E136" t="s">
        <v>19</v>
      </c>
      <c r="F136" t="s">
        <v>12</v>
      </c>
      <c r="G136">
        <v>1</v>
      </c>
      <c r="H136">
        <v>34.99</v>
      </c>
      <c r="I136">
        <v>34.99</v>
      </c>
    </row>
    <row r="137" spans="1:9" x14ac:dyDescent="0.2">
      <c r="A137">
        <v>136</v>
      </c>
      <c r="B137" s="2">
        <v>46163</v>
      </c>
      <c r="C137" t="s">
        <v>57</v>
      </c>
      <c r="D137" t="s">
        <v>21</v>
      </c>
      <c r="E137" t="s">
        <v>11</v>
      </c>
      <c r="F137" t="s">
        <v>12</v>
      </c>
      <c r="G137">
        <v>5</v>
      </c>
      <c r="H137">
        <v>44.99</v>
      </c>
      <c r="I137">
        <v>224.95</v>
      </c>
    </row>
    <row r="138" spans="1:9" x14ac:dyDescent="0.2">
      <c r="A138">
        <v>137</v>
      </c>
      <c r="B138" s="2">
        <v>46137</v>
      </c>
      <c r="C138" t="s">
        <v>68</v>
      </c>
      <c r="D138" t="s">
        <v>35</v>
      </c>
      <c r="E138" t="s">
        <v>14</v>
      </c>
      <c r="F138" t="s">
        <v>15</v>
      </c>
      <c r="G138">
        <v>2</v>
      </c>
      <c r="H138">
        <v>79.989999999999995</v>
      </c>
      <c r="I138">
        <v>159.97999999999999</v>
      </c>
    </row>
    <row r="139" spans="1:9" x14ac:dyDescent="0.2">
      <c r="A139">
        <v>138</v>
      </c>
      <c r="B139" s="2">
        <v>46078</v>
      </c>
      <c r="C139" t="s">
        <v>63</v>
      </c>
      <c r="D139" t="s">
        <v>27</v>
      </c>
      <c r="E139" t="s">
        <v>22</v>
      </c>
      <c r="F139" t="s">
        <v>12</v>
      </c>
      <c r="G139">
        <v>2</v>
      </c>
      <c r="H139">
        <v>19.989999999999998</v>
      </c>
      <c r="I139">
        <v>39.979999999999997</v>
      </c>
    </row>
    <row r="140" spans="1:9" x14ac:dyDescent="0.2">
      <c r="A140">
        <v>139</v>
      </c>
      <c r="B140" s="2">
        <v>46027</v>
      </c>
      <c r="C140" t="s">
        <v>18</v>
      </c>
      <c r="D140" t="s">
        <v>35</v>
      </c>
      <c r="E140" t="s">
        <v>24</v>
      </c>
      <c r="F140" t="s">
        <v>15</v>
      </c>
      <c r="G140">
        <v>5</v>
      </c>
      <c r="H140">
        <v>129.99</v>
      </c>
      <c r="I140">
        <v>649.95000000000005</v>
      </c>
    </row>
    <row r="141" spans="1:9" x14ac:dyDescent="0.2">
      <c r="A141">
        <v>140</v>
      </c>
      <c r="B141" s="2">
        <v>46033</v>
      </c>
      <c r="C141" t="s">
        <v>33</v>
      </c>
      <c r="D141" t="s">
        <v>27</v>
      </c>
      <c r="E141" t="s">
        <v>22</v>
      </c>
      <c r="F141" t="s">
        <v>12</v>
      </c>
      <c r="G141">
        <v>1</v>
      </c>
      <c r="H141">
        <v>19.989999999999998</v>
      </c>
      <c r="I141">
        <v>19.989999999999998</v>
      </c>
    </row>
    <row r="142" spans="1:9" x14ac:dyDescent="0.2">
      <c r="A142">
        <v>141</v>
      </c>
      <c r="B142" s="2">
        <v>46049</v>
      </c>
      <c r="C142" t="s">
        <v>20</v>
      </c>
      <c r="D142" t="s">
        <v>10</v>
      </c>
      <c r="E142" t="s">
        <v>39</v>
      </c>
      <c r="F142" t="s">
        <v>15</v>
      </c>
      <c r="G142">
        <v>3</v>
      </c>
      <c r="H142">
        <v>59.99</v>
      </c>
      <c r="I142">
        <v>179.97</v>
      </c>
    </row>
    <row r="143" spans="1:9" x14ac:dyDescent="0.2">
      <c r="A143">
        <v>142</v>
      </c>
      <c r="B143" s="2">
        <v>46127</v>
      </c>
      <c r="C143" t="s">
        <v>40</v>
      </c>
      <c r="D143" t="s">
        <v>35</v>
      </c>
      <c r="E143" t="s">
        <v>39</v>
      </c>
      <c r="F143" t="s">
        <v>15</v>
      </c>
      <c r="G143">
        <v>2</v>
      </c>
      <c r="H143">
        <v>59.99</v>
      </c>
      <c r="I143">
        <v>119.98</v>
      </c>
    </row>
    <row r="144" spans="1:9" x14ac:dyDescent="0.2">
      <c r="A144">
        <v>143</v>
      </c>
      <c r="B144" s="2">
        <v>46117</v>
      </c>
      <c r="C144" t="s">
        <v>68</v>
      </c>
      <c r="D144" t="s">
        <v>21</v>
      </c>
      <c r="E144" t="s">
        <v>14</v>
      </c>
      <c r="F144" t="s">
        <v>15</v>
      </c>
      <c r="G144">
        <v>4</v>
      </c>
      <c r="H144">
        <v>79.989999999999995</v>
      </c>
      <c r="I144">
        <v>319.95999999999998</v>
      </c>
    </row>
    <row r="145" spans="1:9" x14ac:dyDescent="0.2">
      <c r="A145">
        <v>144</v>
      </c>
      <c r="B145" s="2">
        <v>46075</v>
      </c>
      <c r="C145" t="s">
        <v>67</v>
      </c>
      <c r="D145" t="s">
        <v>27</v>
      </c>
      <c r="E145" t="s">
        <v>14</v>
      </c>
      <c r="F145" t="s">
        <v>15</v>
      </c>
      <c r="G145">
        <v>5</v>
      </c>
      <c r="H145">
        <v>79.989999999999995</v>
      </c>
      <c r="I145">
        <v>399.95</v>
      </c>
    </row>
    <row r="146" spans="1:9" x14ac:dyDescent="0.2">
      <c r="A146">
        <v>145</v>
      </c>
      <c r="B146" s="2">
        <v>46167</v>
      </c>
      <c r="C146" t="s">
        <v>33</v>
      </c>
      <c r="D146" t="s">
        <v>35</v>
      </c>
      <c r="E146" t="s">
        <v>22</v>
      </c>
      <c r="F146" t="s">
        <v>12</v>
      </c>
      <c r="G146">
        <v>3</v>
      </c>
      <c r="H146">
        <v>19.989999999999998</v>
      </c>
      <c r="I146">
        <v>59.97</v>
      </c>
    </row>
    <row r="147" spans="1:9" x14ac:dyDescent="0.2">
      <c r="A147">
        <v>146</v>
      </c>
      <c r="B147" s="2">
        <v>46073</v>
      </c>
      <c r="C147" t="s">
        <v>36</v>
      </c>
      <c r="D147" t="s">
        <v>10</v>
      </c>
      <c r="E147" t="s">
        <v>19</v>
      </c>
      <c r="F147" t="s">
        <v>12</v>
      </c>
      <c r="G147">
        <v>1</v>
      </c>
      <c r="H147">
        <v>34.99</v>
      </c>
      <c r="I147">
        <v>34.99</v>
      </c>
    </row>
    <row r="148" spans="1:9" x14ac:dyDescent="0.2">
      <c r="A148">
        <v>147</v>
      </c>
      <c r="B148" s="2">
        <v>46135</v>
      </c>
      <c r="C148" t="s">
        <v>61</v>
      </c>
      <c r="D148" t="s">
        <v>27</v>
      </c>
      <c r="E148" t="s">
        <v>11</v>
      </c>
      <c r="F148" t="s">
        <v>12</v>
      </c>
      <c r="G148">
        <v>1</v>
      </c>
      <c r="H148">
        <v>44.99</v>
      </c>
      <c r="I148">
        <v>44.99</v>
      </c>
    </row>
    <row r="149" spans="1:9" x14ac:dyDescent="0.2">
      <c r="A149">
        <v>148</v>
      </c>
      <c r="B149" s="2">
        <v>46184</v>
      </c>
      <c r="C149" t="s">
        <v>25</v>
      </c>
      <c r="D149" t="s">
        <v>21</v>
      </c>
      <c r="E149" t="s">
        <v>11</v>
      </c>
      <c r="F149" t="s">
        <v>12</v>
      </c>
      <c r="G149">
        <v>2</v>
      </c>
      <c r="H149">
        <v>44.99</v>
      </c>
      <c r="I149">
        <v>89.98</v>
      </c>
    </row>
    <row r="150" spans="1:9" x14ac:dyDescent="0.2">
      <c r="A150">
        <v>149</v>
      </c>
      <c r="B150" s="2">
        <v>46076</v>
      </c>
      <c r="C150" t="s">
        <v>60</v>
      </c>
      <c r="D150" t="s">
        <v>10</v>
      </c>
      <c r="E150" t="s">
        <v>22</v>
      </c>
      <c r="F150" t="s">
        <v>12</v>
      </c>
      <c r="G150">
        <v>4</v>
      </c>
      <c r="H150">
        <v>19.989999999999998</v>
      </c>
      <c r="I150">
        <v>79.959999999999994</v>
      </c>
    </row>
    <row r="151" spans="1:9" x14ac:dyDescent="0.2">
      <c r="A151">
        <v>150</v>
      </c>
      <c r="B151" s="2">
        <v>46079</v>
      </c>
      <c r="C151" t="s">
        <v>59</v>
      </c>
      <c r="D151" t="s">
        <v>10</v>
      </c>
      <c r="E151" t="s">
        <v>19</v>
      </c>
      <c r="F151" t="s">
        <v>12</v>
      </c>
      <c r="G151">
        <v>3</v>
      </c>
      <c r="H151">
        <v>34.99</v>
      </c>
      <c r="I151">
        <v>104.97</v>
      </c>
    </row>
    <row r="152" spans="1:9" x14ac:dyDescent="0.2">
      <c r="A152">
        <v>151</v>
      </c>
      <c r="B152" s="2">
        <v>46097</v>
      </c>
      <c r="C152" t="s">
        <v>26</v>
      </c>
      <c r="D152" t="s">
        <v>17</v>
      </c>
      <c r="E152" t="s">
        <v>14</v>
      </c>
      <c r="F152" t="s">
        <v>15</v>
      </c>
      <c r="G152">
        <v>2</v>
      </c>
      <c r="H152">
        <v>79.989999999999995</v>
      </c>
      <c r="I152">
        <v>159.97999999999999</v>
      </c>
    </row>
    <row r="153" spans="1:9" x14ac:dyDescent="0.2">
      <c r="A153">
        <v>152</v>
      </c>
      <c r="B153" s="2">
        <v>46120</v>
      </c>
      <c r="C153" t="s">
        <v>66</v>
      </c>
      <c r="D153" t="s">
        <v>21</v>
      </c>
      <c r="E153" t="s">
        <v>22</v>
      </c>
      <c r="F153" t="s">
        <v>12</v>
      </c>
      <c r="G153">
        <v>2</v>
      </c>
      <c r="H153">
        <v>19.989999999999998</v>
      </c>
      <c r="I153">
        <v>39.979999999999997</v>
      </c>
    </row>
    <row r="154" spans="1:9" x14ac:dyDescent="0.2">
      <c r="A154">
        <v>153</v>
      </c>
      <c r="B154" s="2">
        <v>46074</v>
      </c>
      <c r="C154" t="s">
        <v>53</v>
      </c>
      <c r="D154" t="s">
        <v>35</v>
      </c>
      <c r="E154" t="s">
        <v>24</v>
      </c>
      <c r="F154" t="s">
        <v>15</v>
      </c>
      <c r="G154">
        <v>2</v>
      </c>
      <c r="H154">
        <v>129.99</v>
      </c>
      <c r="I154">
        <v>259.98</v>
      </c>
    </row>
    <row r="155" spans="1:9" x14ac:dyDescent="0.2">
      <c r="A155">
        <v>154</v>
      </c>
      <c r="B155" s="2">
        <v>46073</v>
      </c>
      <c r="C155" t="s">
        <v>59</v>
      </c>
      <c r="D155" t="s">
        <v>10</v>
      </c>
      <c r="E155" t="s">
        <v>11</v>
      </c>
      <c r="F155" t="s">
        <v>12</v>
      </c>
      <c r="G155">
        <v>2</v>
      </c>
      <c r="H155">
        <v>44.99</v>
      </c>
      <c r="I155">
        <v>89.98</v>
      </c>
    </row>
    <row r="156" spans="1:9" x14ac:dyDescent="0.2">
      <c r="A156">
        <v>155</v>
      </c>
      <c r="B156" s="2">
        <v>46160</v>
      </c>
      <c r="C156" t="s">
        <v>59</v>
      </c>
      <c r="D156" t="s">
        <v>27</v>
      </c>
      <c r="E156" t="s">
        <v>14</v>
      </c>
      <c r="F156" t="s">
        <v>15</v>
      </c>
      <c r="G156">
        <v>4</v>
      </c>
      <c r="H156">
        <v>79.989999999999995</v>
      </c>
      <c r="I156">
        <v>319.95999999999998</v>
      </c>
    </row>
    <row r="157" spans="1:9" x14ac:dyDescent="0.2">
      <c r="A157">
        <v>156</v>
      </c>
      <c r="B157" s="2">
        <v>46106</v>
      </c>
      <c r="C157" t="s">
        <v>38</v>
      </c>
      <c r="D157" t="s">
        <v>10</v>
      </c>
      <c r="E157" t="s">
        <v>39</v>
      </c>
      <c r="F157" t="s">
        <v>15</v>
      </c>
      <c r="G157">
        <v>4</v>
      </c>
      <c r="H157">
        <v>59.99</v>
      </c>
      <c r="I157">
        <v>239.96</v>
      </c>
    </row>
    <row r="158" spans="1:9" x14ac:dyDescent="0.2">
      <c r="A158">
        <v>157</v>
      </c>
      <c r="B158" s="2">
        <v>46148</v>
      </c>
      <c r="C158" t="s">
        <v>9</v>
      </c>
      <c r="D158" t="s">
        <v>21</v>
      </c>
      <c r="E158" t="s">
        <v>22</v>
      </c>
      <c r="F158" t="s">
        <v>12</v>
      </c>
      <c r="G158">
        <v>5</v>
      </c>
      <c r="H158">
        <v>19.989999999999998</v>
      </c>
      <c r="I158">
        <v>99.95</v>
      </c>
    </row>
    <row r="159" spans="1:9" x14ac:dyDescent="0.2">
      <c r="A159">
        <v>158</v>
      </c>
      <c r="B159" s="2">
        <v>46133</v>
      </c>
      <c r="C159" t="s">
        <v>43</v>
      </c>
      <c r="D159" t="s">
        <v>21</v>
      </c>
      <c r="E159" t="s">
        <v>24</v>
      </c>
      <c r="F159" t="s">
        <v>15</v>
      </c>
      <c r="G159">
        <v>3</v>
      </c>
      <c r="H159">
        <v>129.99</v>
      </c>
      <c r="I159">
        <v>389.97</v>
      </c>
    </row>
    <row r="160" spans="1:9" x14ac:dyDescent="0.2">
      <c r="A160">
        <v>159</v>
      </c>
      <c r="B160" s="2">
        <v>46126</v>
      </c>
      <c r="C160" t="s">
        <v>46</v>
      </c>
      <c r="D160" t="s">
        <v>35</v>
      </c>
      <c r="E160" t="s">
        <v>19</v>
      </c>
      <c r="F160" t="s">
        <v>12</v>
      </c>
      <c r="G160">
        <v>4</v>
      </c>
      <c r="H160">
        <v>34.99</v>
      </c>
      <c r="I160">
        <v>139.96</v>
      </c>
    </row>
    <row r="161" spans="1:9" x14ac:dyDescent="0.2">
      <c r="A161">
        <v>160</v>
      </c>
      <c r="B161" s="2">
        <v>46177</v>
      </c>
      <c r="C161" t="s">
        <v>31</v>
      </c>
      <c r="D161" t="s">
        <v>27</v>
      </c>
      <c r="E161" t="s">
        <v>24</v>
      </c>
      <c r="F161" t="s">
        <v>15</v>
      </c>
      <c r="G161">
        <v>3</v>
      </c>
      <c r="H161">
        <v>129.99</v>
      </c>
      <c r="I161">
        <v>389.97</v>
      </c>
    </row>
    <row r="162" spans="1:9" x14ac:dyDescent="0.2">
      <c r="A162">
        <v>161</v>
      </c>
      <c r="B162" s="2">
        <v>46073</v>
      </c>
      <c r="C162" t="s">
        <v>52</v>
      </c>
      <c r="D162" t="s">
        <v>10</v>
      </c>
      <c r="E162" t="s">
        <v>14</v>
      </c>
      <c r="F162" t="s">
        <v>15</v>
      </c>
      <c r="G162">
        <v>2</v>
      </c>
      <c r="H162">
        <v>79.989999999999995</v>
      </c>
      <c r="I162">
        <v>159.97999999999999</v>
      </c>
    </row>
    <row r="163" spans="1:9" x14ac:dyDescent="0.2">
      <c r="A163">
        <v>162</v>
      </c>
      <c r="B163" s="2">
        <v>46114</v>
      </c>
      <c r="C163" t="s">
        <v>41</v>
      </c>
      <c r="D163" t="s">
        <v>10</v>
      </c>
      <c r="E163" t="s">
        <v>14</v>
      </c>
      <c r="F163" t="s">
        <v>15</v>
      </c>
      <c r="G163">
        <v>2</v>
      </c>
      <c r="H163">
        <v>79.989999999999995</v>
      </c>
      <c r="I163">
        <v>159.97999999999999</v>
      </c>
    </row>
    <row r="164" spans="1:9" x14ac:dyDescent="0.2">
      <c r="A164">
        <v>163</v>
      </c>
      <c r="B164" s="2">
        <v>46092</v>
      </c>
      <c r="C164" t="s">
        <v>62</v>
      </c>
      <c r="D164" t="s">
        <v>10</v>
      </c>
      <c r="E164" t="s">
        <v>19</v>
      </c>
      <c r="F164" t="s">
        <v>12</v>
      </c>
      <c r="G164">
        <v>5</v>
      </c>
      <c r="H164">
        <v>34.99</v>
      </c>
      <c r="I164">
        <v>174.95</v>
      </c>
    </row>
    <row r="165" spans="1:9" x14ac:dyDescent="0.2">
      <c r="A165">
        <v>164</v>
      </c>
      <c r="B165" s="2">
        <v>46112</v>
      </c>
      <c r="C165" t="s">
        <v>57</v>
      </c>
      <c r="D165" t="s">
        <v>27</v>
      </c>
      <c r="E165" t="s">
        <v>39</v>
      </c>
      <c r="F165" t="s">
        <v>15</v>
      </c>
      <c r="G165">
        <v>4</v>
      </c>
      <c r="H165">
        <v>59.99</v>
      </c>
      <c r="I165">
        <v>239.96</v>
      </c>
    </row>
    <row r="166" spans="1:9" x14ac:dyDescent="0.2">
      <c r="A166">
        <v>165</v>
      </c>
      <c r="B166" s="2">
        <v>46067</v>
      </c>
      <c r="C166" t="s">
        <v>51</v>
      </c>
      <c r="D166" t="s">
        <v>35</v>
      </c>
      <c r="E166" t="s">
        <v>39</v>
      </c>
      <c r="F166" t="s">
        <v>15</v>
      </c>
      <c r="G166">
        <v>2</v>
      </c>
      <c r="H166">
        <v>59.99</v>
      </c>
      <c r="I166">
        <v>119.98</v>
      </c>
    </row>
    <row r="167" spans="1:9" x14ac:dyDescent="0.2">
      <c r="A167">
        <v>166</v>
      </c>
      <c r="B167" s="2">
        <v>46069</v>
      </c>
      <c r="C167" t="s">
        <v>44</v>
      </c>
      <c r="D167" t="s">
        <v>21</v>
      </c>
      <c r="E167" t="s">
        <v>22</v>
      </c>
      <c r="F167" t="s">
        <v>12</v>
      </c>
      <c r="G167">
        <v>1</v>
      </c>
      <c r="H167">
        <v>19.989999999999998</v>
      </c>
      <c r="I167">
        <v>19.989999999999998</v>
      </c>
    </row>
    <row r="168" spans="1:9" x14ac:dyDescent="0.2">
      <c r="A168">
        <v>167</v>
      </c>
      <c r="B168" s="2">
        <v>46048</v>
      </c>
      <c r="C168" t="s">
        <v>47</v>
      </c>
      <c r="D168" t="s">
        <v>35</v>
      </c>
      <c r="E168" t="s">
        <v>14</v>
      </c>
      <c r="F168" t="s">
        <v>15</v>
      </c>
      <c r="G168">
        <v>1</v>
      </c>
      <c r="H168">
        <v>79.989999999999995</v>
      </c>
      <c r="I168">
        <v>79.989999999999995</v>
      </c>
    </row>
    <row r="169" spans="1:9" x14ac:dyDescent="0.2">
      <c r="A169">
        <v>168</v>
      </c>
      <c r="B169" s="2">
        <v>46202</v>
      </c>
      <c r="C169" t="s">
        <v>69</v>
      </c>
      <c r="D169" t="s">
        <v>27</v>
      </c>
      <c r="E169" t="s">
        <v>39</v>
      </c>
      <c r="F169" t="s">
        <v>15</v>
      </c>
      <c r="G169">
        <v>3</v>
      </c>
      <c r="H169">
        <v>59.99</v>
      </c>
      <c r="I169">
        <v>179.97</v>
      </c>
    </row>
    <row r="170" spans="1:9" x14ac:dyDescent="0.2">
      <c r="A170">
        <v>169</v>
      </c>
      <c r="B170" s="2">
        <v>46131</v>
      </c>
      <c r="C170" t="s">
        <v>34</v>
      </c>
      <c r="D170" t="s">
        <v>21</v>
      </c>
      <c r="E170" t="s">
        <v>11</v>
      </c>
      <c r="F170" t="s">
        <v>12</v>
      </c>
      <c r="G170">
        <v>2</v>
      </c>
      <c r="H170">
        <v>44.99</v>
      </c>
      <c r="I170">
        <v>89.98</v>
      </c>
    </row>
    <row r="171" spans="1:9" x14ac:dyDescent="0.2">
      <c r="A171">
        <v>170</v>
      </c>
      <c r="B171" s="2">
        <v>46133</v>
      </c>
      <c r="C171" t="s">
        <v>43</v>
      </c>
      <c r="D171" t="s">
        <v>21</v>
      </c>
      <c r="E171" t="s">
        <v>24</v>
      </c>
      <c r="F171" t="s">
        <v>15</v>
      </c>
      <c r="G171">
        <v>3</v>
      </c>
      <c r="H171">
        <v>129.99</v>
      </c>
      <c r="I171">
        <v>389.97</v>
      </c>
    </row>
    <row r="172" spans="1:9" x14ac:dyDescent="0.2">
      <c r="A172">
        <v>171</v>
      </c>
      <c r="B172" s="2">
        <v>46040</v>
      </c>
      <c r="C172" t="s">
        <v>53</v>
      </c>
      <c r="D172" t="s">
        <v>21</v>
      </c>
      <c r="E172" t="s">
        <v>11</v>
      </c>
      <c r="F172" t="s">
        <v>12</v>
      </c>
      <c r="G172">
        <v>5</v>
      </c>
      <c r="H172">
        <v>44.99</v>
      </c>
      <c r="I172">
        <v>224.95</v>
      </c>
    </row>
    <row r="173" spans="1:9" x14ac:dyDescent="0.2">
      <c r="A173">
        <v>172</v>
      </c>
      <c r="B173" s="2">
        <v>46141</v>
      </c>
      <c r="C173" t="s">
        <v>67</v>
      </c>
      <c r="D173" t="s">
        <v>17</v>
      </c>
      <c r="E173" t="s">
        <v>24</v>
      </c>
      <c r="F173" t="s">
        <v>15</v>
      </c>
      <c r="G173">
        <v>1</v>
      </c>
      <c r="H173">
        <v>129.99</v>
      </c>
      <c r="I173">
        <v>129.99</v>
      </c>
    </row>
    <row r="174" spans="1:9" x14ac:dyDescent="0.2">
      <c r="A174">
        <v>173</v>
      </c>
      <c r="B174" s="2">
        <v>46039</v>
      </c>
      <c r="C174" t="s">
        <v>26</v>
      </c>
      <c r="D174" t="s">
        <v>27</v>
      </c>
      <c r="E174" t="s">
        <v>22</v>
      </c>
      <c r="F174" t="s">
        <v>12</v>
      </c>
      <c r="G174">
        <v>1</v>
      </c>
      <c r="H174">
        <v>19.989999999999998</v>
      </c>
      <c r="I174">
        <v>19.989999999999998</v>
      </c>
    </row>
    <row r="175" spans="1:9" x14ac:dyDescent="0.2">
      <c r="A175">
        <v>174</v>
      </c>
      <c r="B175" s="2">
        <v>46047</v>
      </c>
      <c r="C175" t="s">
        <v>59</v>
      </c>
      <c r="D175" t="s">
        <v>10</v>
      </c>
      <c r="E175" t="s">
        <v>19</v>
      </c>
      <c r="F175" t="s">
        <v>12</v>
      </c>
      <c r="G175">
        <v>4</v>
      </c>
      <c r="H175">
        <v>34.99</v>
      </c>
      <c r="I175">
        <v>139.96</v>
      </c>
    </row>
    <row r="176" spans="1:9" x14ac:dyDescent="0.2">
      <c r="A176">
        <v>175</v>
      </c>
      <c r="B176" s="2">
        <v>46090</v>
      </c>
      <c r="C176" t="s">
        <v>32</v>
      </c>
      <c r="D176" t="s">
        <v>21</v>
      </c>
      <c r="E176" t="s">
        <v>11</v>
      </c>
      <c r="F176" t="s">
        <v>12</v>
      </c>
      <c r="G176">
        <v>1</v>
      </c>
      <c r="H176">
        <v>44.99</v>
      </c>
      <c r="I176">
        <v>44.99</v>
      </c>
    </row>
    <row r="177" spans="1:9" x14ac:dyDescent="0.2">
      <c r="A177">
        <v>176</v>
      </c>
      <c r="B177" s="2">
        <v>46168</v>
      </c>
      <c r="C177" t="s">
        <v>23</v>
      </c>
      <c r="D177" t="s">
        <v>17</v>
      </c>
      <c r="E177" t="s">
        <v>39</v>
      </c>
      <c r="F177" t="s">
        <v>15</v>
      </c>
      <c r="G177">
        <v>5</v>
      </c>
      <c r="H177">
        <v>59.99</v>
      </c>
      <c r="I177">
        <v>299.95</v>
      </c>
    </row>
    <row r="178" spans="1:9" x14ac:dyDescent="0.2">
      <c r="A178">
        <v>177</v>
      </c>
      <c r="B178" s="2">
        <v>46133</v>
      </c>
      <c r="C178" t="s">
        <v>29</v>
      </c>
      <c r="D178" t="s">
        <v>35</v>
      </c>
      <c r="E178" t="s">
        <v>19</v>
      </c>
      <c r="F178" t="s">
        <v>12</v>
      </c>
      <c r="G178">
        <v>2</v>
      </c>
      <c r="H178">
        <v>34.99</v>
      </c>
      <c r="I178">
        <v>69.98</v>
      </c>
    </row>
    <row r="179" spans="1:9" x14ac:dyDescent="0.2">
      <c r="A179">
        <v>178</v>
      </c>
      <c r="B179" s="2">
        <v>46064</v>
      </c>
      <c r="C179" t="s">
        <v>64</v>
      </c>
      <c r="D179" t="s">
        <v>10</v>
      </c>
      <c r="E179" t="s">
        <v>11</v>
      </c>
      <c r="F179" t="s">
        <v>12</v>
      </c>
      <c r="G179">
        <v>3</v>
      </c>
      <c r="H179">
        <v>44.99</v>
      </c>
      <c r="I179">
        <v>134.97</v>
      </c>
    </row>
    <row r="180" spans="1:9" x14ac:dyDescent="0.2">
      <c r="A180">
        <v>179</v>
      </c>
      <c r="B180" s="2">
        <v>46048</v>
      </c>
      <c r="C180" t="s">
        <v>58</v>
      </c>
      <c r="D180" t="s">
        <v>21</v>
      </c>
      <c r="E180" t="s">
        <v>19</v>
      </c>
      <c r="F180" t="s">
        <v>12</v>
      </c>
      <c r="G180">
        <v>4</v>
      </c>
      <c r="H180">
        <v>34.99</v>
      </c>
      <c r="I180">
        <v>139.96</v>
      </c>
    </row>
    <row r="181" spans="1:9" x14ac:dyDescent="0.2">
      <c r="A181">
        <v>180</v>
      </c>
      <c r="B181" s="2">
        <v>46143</v>
      </c>
      <c r="C181" t="s">
        <v>18</v>
      </c>
      <c r="D181" t="s">
        <v>10</v>
      </c>
      <c r="E181" t="s">
        <v>24</v>
      </c>
      <c r="F181" t="s">
        <v>15</v>
      </c>
      <c r="G181">
        <v>5</v>
      </c>
      <c r="H181">
        <v>129.99</v>
      </c>
      <c r="I181">
        <v>649.95000000000005</v>
      </c>
    </row>
    <row r="182" spans="1:9" x14ac:dyDescent="0.2">
      <c r="A182">
        <v>181</v>
      </c>
      <c r="B182" s="2">
        <v>46092</v>
      </c>
      <c r="C182" t="s">
        <v>54</v>
      </c>
      <c r="D182" t="s">
        <v>17</v>
      </c>
      <c r="E182" t="s">
        <v>19</v>
      </c>
      <c r="F182" t="s">
        <v>12</v>
      </c>
      <c r="G182">
        <v>5</v>
      </c>
      <c r="H182">
        <v>34.99</v>
      </c>
      <c r="I182">
        <v>174.95</v>
      </c>
    </row>
    <row r="183" spans="1:9" x14ac:dyDescent="0.2">
      <c r="A183">
        <v>182</v>
      </c>
      <c r="B183" s="2">
        <v>46084</v>
      </c>
      <c r="C183" t="s">
        <v>63</v>
      </c>
      <c r="D183" t="s">
        <v>35</v>
      </c>
      <c r="E183" t="s">
        <v>19</v>
      </c>
      <c r="F183" t="s">
        <v>12</v>
      </c>
      <c r="G183">
        <v>3</v>
      </c>
      <c r="H183">
        <v>34.99</v>
      </c>
      <c r="I183">
        <v>104.97</v>
      </c>
    </row>
    <row r="184" spans="1:9" x14ac:dyDescent="0.2">
      <c r="A184">
        <v>183</v>
      </c>
      <c r="B184" s="2">
        <v>46053</v>
      </c>
      <c r="C184" t="s">
        <v>61</v>
      </c>
      <c r="D184" t="s">
        <v>10</v>
      </c>
      <c r="E184" t="s">
        <v>24</v>
      </c>
      <c r="F184" t="s">
        <v>15</v>
      </c>
      <c r="G184">
        <v>3</v>
      </c>
      <c r="H184">
        <v>129.99</v>
      </c>
      <c r="I184">
        <v>389.97</v>
      </c>
    </row>
    <row r="185" spans="1:9" x14ac:dyDescent="0.2">
      <c r="A185">
        <v>184</v>
      </c>
      <c r="B185" s="2">
        <v>46097</v>
      </c>
      <c r="C185" t="s">
        <v>46</v>
      </c>
      <c r="D185" t="s">
        <v>35</v>
      </c>
      <c r="E185" t="s">
        <v>11</v>
      </c>
      <c r="F185" t="s">
        <v>12</v>
      </c>
      <c r="G185">
        <v>2</v>
      </c>
      <c r="H185">
        <v>44.99</v>
      </c>
      <c r="I185">
        <v>89.98</v>
      </c>
    </row>
    <row r="186" spans="1:9" x14ac:dyDescent="0.2">
      <c r="A186">
        <v>185</v>
      </c>
      <c r="B186" s="2">
        <v>46084</v>
      </c>
      <c r="C186" t="s">
        <v>16</v>
      </c>
      <c r="D186" t="s">
        <v>21</v>
      </c>
      <c r="E186" t="s">
        <v>19</v>
      </c>
      <c r="F186" t="s">
        <v>12</v>
      </c>
      <c r="G186">
        <v>3</v>
      </c>
      <c r="H186">
        <v>34.99</v>
      </c>
      <c r="I186">
        <v>104.97</v>
      </c>
    </row>
    <row r="187" spans="1:9" x14ac:dyDescent="0.2">
      <c r="A187">
        <v>186</v>
      </c>
      <c r="B187" s="2">
        <v>46195</v>
      </c>
      <c r="C187" t="s">
        <v>60</v>
      </c>
      <c r="D187" t="s">
        <v>10</v>
      </c>
      <c r="E187" t="s">
        <v>22</v>
      </c>
      <c r="F187" t="s">
        <v>12</v>
      </c>
      <c r="G187">
        <v>3</v>
      </c>
      <c r="H187">
        <v>19.989999999999998</v>
      </c>
      <c r="I187">
        <v>59.97</v>
      </c>
    </row>
    <row r="188" spans="1:9" x14ac:dyDescent="0.2">
      <c r="A188">
        <v>187</v>
      </c>
      <c r="B188" s="2">
        <v>46140</v>
      </c>
      <c r="C188" t="s">
        <v>46</v>
      </c>
      <c r="D188" t="s">
        <v>21</v>
      </c>
      <c r="E188" t="s">
        <v>19</v>
      </c>
      <c r="F188" t="s">
        <v>12</v>
      </c>
      <c r="G188">
        <v>2</v>
      </c>
      <c r="H188">
        <v>34.99</v>
      </c>
      <c r="I188">
        <v>69.98</v>
      </c>
    </row>
    <row r="189" spans="1:9" x14ac:dyDescent="0.2">
      <c r="A189">
        <v>188</v>
      </c>
      <c r="B189" s="2">
        <v>46042</v>
      </c>
      <c r="C189" t="s">
        <v>20</v>
      </c>
      <c r="D189" t="s">
        <v>17</v>
      </c>
      <c r="E189" t="s">
        <v>11</v>
      </c>
      <c r="F189" t="s">
        <v>12</v>
      </c>
      <c r="G189">
        <v>1</v>
      </c>
      <c r="H189">
        <v>44.99</v>
      </c>
      <c r="I189">
        <v>44.99</v>
      </c>
    </row>
    <row r="190" spans="1:9" x14ac:dyDescent="0.2">
      <c r="A190">
        <v>189</v>
      </c>
      <c r="B190" s="2">
        <v>46164</v>
      </c>
      <c r="C190" t="s">
        <v>53</v>
      </c>
      <c r="D190" t="s">
        <v>10</v>
      </c>
      <c r="E190" t="s">
        <v>39</v>
      </c>
      <c r="F190" t="s">
        <v>15</v>
      </c>
      <c r="G190">
        <v>2</v>
      </c>
      <c r="H190">
        <v>59.99</v>
      </c>
      <c r="I190">
        <v>119.98</v>
      </c>
    </row>
    <row r="191" spans="1:9" x14ac:dyDescent="0.2">
      <c r="A191">
        <v>190</v>
      </c>
      <c r="B191" s="2">
        <v>46122</v>
      </c>
      <c r="C191" t="s">
        <v>45</v>
      </c>
      <c r="D191" t="s">
        <v>21</v>
      </c>
      <c r="E191" t="s">
        <v>19</v>
      </c>
      <c r="F191" t="s">
        <v>12</v>
      </c>
      <c r="G191">
        <v>3</v>
      </c>
      <c r="H191">
        <v>34.99</v>
      </c>
      <c r="I191">
        <v>104.97</v>
      </c>
    </row>
    <row r="192" spans="1:9" x14ac:dyDescent="0.2">
      <c r="A192">
        <v>191</v>
      </c>
      <c r="B192" s="2">
        <v>46156</v>
      </c>
      <c r="C192" t="s">
        <v>30</v>
      </c>
      <c r="D192" t="s">
        <v>27</v>
      </c>
      <c r="E192" t="s">
        <v>24</v>
      </c>
      <c r="F192" t="s">
        <v>15</v>
      </c>
      <c r="G192">
        <v>1</v>
      </c>
      <c r="H192">
        <v>129.99</v>
      </c>
      <c r="I192">
        <v>129.99</v>
      </c>
    </row>
    <row r="193" spans="1:9" x14ac:dyDescent="0.2">
      <c r="A193">
        <v>192</v>
      </c>
      <c r="B193" s="2">
        <v>46194</v>
      </c>
      <c r="C193" t="s">
        <v>16</v>
      </c>
      <c r="D193" t="s">
        <v>10</v>
      </c>
      <c r="E193" t="s">
        <v>14</v>
      </c>
      <c r="F193" t="s">
        <v>15</v>
      </c>
      <c r="G193">
        <v>2</v>
      </c>
      <c r="H193">
        <v>79.989999999999995</v>
      </c>
      <c r="I193">
        <v>159.97999999999999</v>
      </c>
    </row>
    <row r="194" spans="1:9" x14ac:dyDescent="0.2">
      <c r="A194">
        <v>193</v>
      </c>
      <c r="B194" s="2">
        <v>46087</v>
      </c>
      <c r="C194" t="s">
        <v>67</v>
      </c>
      <c r="D194" t="s">
        <v>35</v>
      </c>
      <c r="E194" t="s">
        <v>22</v>
      </c>
      <c r="F194" t="s">
        <v>12</v>
      </c>
      <c r="G194">
        <v>4</v>
      </c>
      <c r="H194">
        <v>19.989999999999998</v>
      </c>
      <c r="I194">
        <v>79.959999999999994</v>
      </c>
    </row>
    <row r="195" spans="1:9" x14ac:dyDescent="0.2">
      <c r="A195">
        <v>194</v>
      </c>
      <c r="B195" s="2">
        <v>46165</v>
      </c>
      <c r="C195" t="s">
        <v>38</v>
      </c>
      <c r="D195" t="s">
        <v>21</v>
      </c>
      <c r="E195" t="s">
        <v>39</v>
      </c>
      <c r="F195" t="s">
        <v>15</v>
      </c>
      <c r="G195">
        <v>1</v>
      </c>
      <c r="H195">
        <v>59.99</v>
      </c>
      <c r="I195">
        <v>59.99</v>
      </c>
    </row>
    <row r="196" spans="1:9" x14ac:dyDescent="0.2">
      <c r="A196">
        <v>195</v>
      </c>
      <c r="B196" s="2">
        <v>46091</v>
      </c>
      <c r="C196" t="s">
        <v>60</v>
      </c>
      <c r="D196" t="s">
        <v>27</v>
      </c>
      <c r="E196" t="s">
        <v>19</v>
      </c>
      <c r="F196" t="s">
        <v>12</v>
      </c>
      <c r="G196">
        <v>1</v>
      </c>
      <c r="H196">
        <v>34.99</v>
      </c>
      <c r="I196">
        <v>34.99</v>
      </c>
    </row>
    <row r="197" spans="1:9" x14ac:dyDescent="0.2">
      <c r="A197">
        <v>196</v>
      </c>
      <c r="B197" s="2">
        <v>46142</v>
      </c>
      <c r="C197" t="s">
        <v>13</v>
      </c>
      <c r="D197" t="s">
        <v>35</v>
      </c>
      <c r="E197" t="s">
        <v>19</v>
      </c>
      <c r="F197" t="s">
        <v>12</v>
      </c>
      <c r="G197">
        <v>5</v>
      </c>
      <c r="H197">
        <v>34.99</v>
      </c>
      <c r="I197">
        <v>174.95</v>
      </c>
    </row>
    <row r="198" spans="1:9" x14ac:dyDescent="0.2">
      <c r="A198">
        <v>197</v>
      </c>
      <c r="B198" s="2">
        <v>46057</v>
      </c>
      <c r="C198" t="s">
        <v>62</v>
      </c>
      <c r="D198" t="s">
        <v>17</v>
      </c>
      <c r="E198" t="s">
        <v>22</v>
      </c>
      <c r="F198" t="s">
        <v>12</v>
      </c>
      <c r="G198">
        <v>4</v>
      </c>
      <c r="H198">
        <v>19.989999999999998</v>
      </c>
      <c r="I198">
        <v>79.959999999999994</v>
      </c>
    </row>
    <row r="199" spans="1:9" x14ac:dyDescent="0.2">
      <c r="A199">
        <v>198</v>
      </c>
      <c r="B199" s="2">
        <v>46127</v>
      </c>
      <c r="C199" t="s">
        <v>67</v>
      </c>
      <c r="D199" t="s">
        <v>17</v>
      </c>
      <c r="E199" t="s">
        <v>14</v>
      </c>
      <c r="F199" t="s">
        <v>15</v>
      </c>
      <c r="G199">
        <v>3</v>
      </c>
      <c r="H199">
        <v>79.989999999999995</v>
      </c>
      <c r="I199">
        <v>239.97</v>
      </c>
    </row>
    <row r="200" spans="1:9" x14ac:dyDescent="0.2">
      <c r="A200">
        <v>199</v>
      </c>
      <c r="B200" s="2">
        <v>46187</v>
      </c>
      <c r="C200" t="s">
        <v>68</v>
      </c>
      <c r="D200" t="s">
        <v>21</v>
      </c>
      <c r="E200" t="s">
        <v>19</v>
      </c>
      <c r="F200" t="s">
        <v>12</v>
      </c>
      <c r="G200">
        <v>3</v>
      </c>
      <c r="H200">
        <v>34.99</v>
      </c>
      <c r="I200">
        <v>104.97</v>
      </c>
    </row>
    <row r="201" spans="1:9" x14ac:dyDescent="0.2">
      <c r="A201">
        <v>200</v>
      </c>
      <c r="B201" s="2">
        <v>46084</v>
      </c>
      <c r="C201" t="s">
        <v>46</v>
      </c>
      <c r="D201" t="s">
        <v>35</v>
      </c>
      <c r="E201" t="s">
        <v>24</v>
      </c>
      <c r="F201" t="s">
        <v>15</v>
      </c>
      <c r="G201">
        <v>2</v>
      </c>
      <c r="H201">
        <v>129.99</v>
      </c>
      <c r="I201">
        <v>259.98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showGridLines="0" tabSelected="1" zoomScale="125" workbookViewId="0">
      <selection activeCell="A14" sqref="A14"/>
    </sheetView>
  </sheetViews>
  <sheetFormatPr baseColWidth="10" defaultColWidth="8.83203125" defaultRowHeight="15" x14ac:dyDescent="0.2"/>
  <cols>
    <col min="1" max="1" width="72.83203125" customWidth="1"/>
    <col min="2" max="2" width="10.6640625" bestFit="1" customWidth="1"/>
    <col min="5" max="5" width="18.5" customWidth="1"/>
  </cols>
  <sheetData>
    <row r="1" spans="1:5" x14ac:dyDescent="0.2">
      <c r="A1" s="1" t="s">
        <v>70</v>
      </c>
      <c r="B1" s="1" t="s">
        <v>71</v>
      </c>
    </row>
    <row r="2" spans="1:5" x14ac:dyDescent="0.2">
      <c r="A2" t="s">
        <v>72</v>
      </c>
      <c r="B2" s="5">
        <v>38174.019999999997</v>
      </c>
    </row>
    <row r="3" spans="1:5" x14ac:dyDescent="0.2">
      <c r="A3" t="s">
        <v>73</v>
      </c>
      <c r="B3" s="6">
        <v>200</v>
      </c>
    </row>
    <row r="4" spans="1:5" x14ac:dyDescent="0.2">
      <c r="A4" t="s">
        <v>74</v>
      </c>
      <c r="B4" s="6">
        <v>598</v>
      </c>
    </row>
    <row r="5" spans="1:5" x14ac:dyDescent="0.2">
      <c r="A5" t="s">
        <v>75</v>
      </c>
      <c r="B5" s="5">
        <v>190.87</v>
      </c>
    </row>
    <row r="7" spans="1:5" ht="21" x14ac:dyDescent="0.25">
      <c r="A7" s="7" t="s">
        <v>83</v>
      </c>
    </row>
    <row r="8" spans="1:5" x14ac:dyDescent="0.2">
      <c r="A8" t="s">
        <v>80</v>
      </c>
      <c r="D8" s="4"/>
      <c r="E8" t="s">
        <v>81</v>
      </c>
    </row>
    <row r="22" spans="1:1" ht="16" x14ac:dyDescent="0.2">
      <c r="A22" s="8" t="s">
        <v>84</v>
      </c>
    </row>
    <row r="23" spans="1:1" ht="16" x14ac:dyDescent="0.2">
      <c r="A23" s="9" t="s">
        <v>82</v>
      </c>
    </row>
  </sheetData>
  <pageMargins left="0.75" right="0.75" top="1" bottom="1" header="0.5" footer="0.5"/>
  <drawing r:id="rId1"/>
</worksheet>
</file>

<file path=docMetadata/LabelInfo.xml><?xml version="1.0" encoding="utf-8"?>
<clbl:labelList xmlns:clbl="http://schemas.microsoft.com/office/2020/mipLabelMetadata">
  <clbl:label id="{5f35c3da-39ae-4632-9ac1-afc2f25d2852}" enabled="0" method="" siteId="{5f35c3da-39ae-4632-9ac1-afc2f25d285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2</vt:i4>
      </vt:variant>
    </vt:vector>
  </HeadingPairs>
  <TitlesOfParts>
    <vt:vector size="4" baseType="lpstr">
      <vt:lpstr>Sales_Data</vt:lpstr>
      <vt:lpstr>Summary</vt:lpstr>
      <vt:lpstr>Revenue by region</vt:lpstr>
      <vt:lpstr>Revenue by 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Adekanye, Tamilore (Student)</cp:lastModifiedBy>
  <dcterms:created xsi:type="dcterms:W3CDTF">2026-09-06T14:49:07Z</dcterms:created>
  <dcterms:modified xsi:type="dcterms:W3CDTF">2026-09-07T18:23:15Z</dcterms:modified>
</cp:coreProperties>
</file>